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 defaultThemeVersion="124226"/>
  <xr:revisionPtr revIDLastSave="0" documentId="13_ncr:1_{A4D8C377-B206-467E-8193-A955ABD48A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жами банкоматлар 2025" sheetId="34" r:id="rId1"/>
    <sheet name="Раисга" sheetId="39" r:id="rId2"/>
    <sheet name="Инфокиоски" sheetId="36" r:id="rId3"/>
    <sheet name="VTM, STM" sheetId="37" r:id="rId4"/>
    <sheet name="СВОД формула" sheetId="27" r:id="rId5"/>
    <sheet name="Cash In" sheetId="40" r:id="rId6"/>
  </sheets>
  <definedNames>
    <definedName name="_xlnm._FilterDatabase" localSheetId="5" hidden="1">'Cash In'!$A$2:$Q$125</definedName>
    <definedName name="_xlnm._FilterDatabase" localSheetId="0" hidden="1">'жами банкоматлар 2025'!$A$2:$AM$3</definedName>
    <definedName name="_xlnm._FilterDatabase" localSheetId="2" hidden="1">Инфокиоски!$A$2:$N$130</definedName>
    <definedName name="Ишчи_ҳолатида" localSheetId="0">'жами банкоматлар 2025'!#REF!</definedName>
    <definedName name="Ишчи_ҳолатида">#REF!</definedName>
    <definedName name="_xlnm.Print_Area" localSheetId="0">'жами банкоматлар 2025'!$A$2:$P$3</definedName>
    <definedName name="_xlnm.Print_Area" localSheetId="4">'СВОД формула'!$A$1:$AA$53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39" l="1"/>
  <c r="D4" i="39"/>
  <c r="D5" i="39"/>
  <c r="D6" i="39"/>
  <c r="D7" i="39"/>
  <c r="D8" i="39"/>
  <c r="D9" i="39"/>
  <c r="D10" i="39"/>
  <c r="D11" i="39"/>
  <c r="D12" i="39"/>
  <c r="D13" i="39"/>
  <c r="D14" i="39"/>
  <c r="D15" i="39"/>
  <c r="D16" i="39"/>
  <c r="L50" i="27"/>
  <c r="L49" i="27"/>
  <c r="L48" i="27"/>
  <c r="L47" i="27"/>
  <c r="L45" i="27"/>
  <c r="L44" i="27"/>
  <c r="L43" i="27"/>
  <c r="L42" i="27"/>
  <c r="L41" i="27"/>
  <c r="L39" i="27"/>
  <c r="L38" i="27"/>
  <c r="L37" i="27"/>
  <c r="L36" i="27"/>
  <c r="L29" i="27"/>
  <c r="L27" i="27"/>
  <c r="L26" i="27"/>
  <c r="L23" i="27"/>
  <c r="L20" i="27"/>
  <c r="L19" i="27"/>
  <c r="L18" i="27"/>
  <c r="L15" i="27"/>
  <c r="L11" i="27"/>
  <c r="L7" i="27"/>
  <c r="L5" i="27"/>
  <c r="L4" i="27"/>
  <c r="R50" i="27"/>
  <c r="R49" i="27"/>
  <c r="R48" i="27"/>
  <c r="R47" i="27"/>
  <c r="R45" i="27"/>
  <c r="R44" i="27"/>
  <c r="R43" i="27"/>
  <c r="R42" i="27"/>
  <c r="R41" i="27"/>
  <c r="R39" i="27"/>
  <c r="R38" i="27"/>
  <c r="R37" i="27"/>
  <c r="R36" i="27"/>
  <c r="R29" i="27"/>
  <c r="R27" i="27"/>
  <c r="R26" i="27"/>
  <c r="R23" i="27"/>
  <c r="R20" i="27"/>
  <c r="R19" i="27"/>
  <c r="R18" i="27"/>
  <c r="R15" i="27"/>
  <c r="R11" i="27"/>
  <c r="R7" i="27"/>
  <c r="R5" i="27"/>
  <c r="R4" i="27"/>
  <c r="E7" i="39"/>
  <c r="K17" i="39"/>
  <c r="H17" i="39"/>
  <c r="D9" i="27"/>
  <c r="C13" i="27"/>
  <c r="R13" i="27" s="1"/>
  <c r="C14" i="27"/>
  <c r="R14" i="27" s="1"/>
  <c r="C16" i="27"/>
  <c r="L16" i="27" s="1"/>
  <c r="C17" i="27"/>
  <c r="L17" i="27" s="1"/>
  <c r="C21" i="27"/>
  <c r="L21" i="27" s="1"/>
  <c r="C22" i="27"/>
  <c r="L22" i="27" s="1"/>
  <c r="C24" i="27"/>
  <c r="R24" i="27" s="1"/>
  <c r="C25" i="27"/>
  <c r="L25" i="27" s="1"/>
  <c r="C28" i="27"/>
  <c r="R28" i="27" s="1"/>
  <c r="C30" i="27"/>
  <c r="L30" i="27" s="1"/>
  <c r="C31" i="27"/>
  <c r="L31" i="27" s="1"/>
  <c r="C32" i="27"/>
  <c r="R32" i="27" s="1"/>
  <c r="C33" i="27"/>
  <c r="L33" i="27" s="1"/>
  <c r="C34" i="27"/>
  <c r="R34" i="27" s="1"/>
  <c r="C35" i="27"/>
  <c r="L35" i="27" s="1"/>
  <c r="C40" i="27"/>
  <c r="R40" i="27" s="1"/>
  <c r="C46" i="27"/>
  <c r="L46" i="27" s="1"/>
  <c r="R25" i="27" l="1"/>
  <c r="L13" i="27"/>
  <c r="R16" i="27"/>
  <c r="L32" i="27"/>
  <c r="R35" i="27"/>
  <c r="R17" i="27"/>
  <c r="L40" i="27"/>
  <c r="L24" i="27"/>
  <c r="L14" i="27"/>
  <c r="L34" i="27"/>
  <c r="L28" i="27"/>
  <c r="R30" i="27"/>
  <c r="R21" i="27"/>
  <c r="R33" i="27"/>
  <c r="R22" i="27"/>
  <c r="R46" i="27"/>
  <c r="R31" i="27"/>
  <c r="G18" i="39"/>
  <c r="F18" i="39"/>
  <c r="L5" i="39"/>
  <c r="L6" i="39"/>
  <c r="L7" i="39"/>
  <c r="L8" i="39"/>
  <c r="L9" i="39"/>
  <c r="L10" i="39"/>
  <c r="L11" i="39"/>
  <c r="L12" i="39"/>
  <c r="L13" i="39"/>
  <c r="L14" i="39"/>
  <c r="L15" i="39"/>
  <c r="L16" i="39"/>
  <c r="L17" i="39"/>
  <c r="L4" i="39"/>
  <c r="K5" i="39"/>
  <c r="K6" i="39"/>
  <c r="K7" i="39"/>
  <c r="K8" i="39"/>
  <c r="K9" i="39"/>
  <c r="K10" i="39"/>
  <c r="K11" i="39"/>
  <c r="K12" i="39"/>
  <c r="K13" i="39"/>
  <c r="K14" i="39"/>
  <c r="K15" i="39"/>
  <c r="K16" i="39"/>
  <c r="K4" i="39"/>
  <c r="J4" i="39"/>
  <c r="J5" i="39"/>
  <c r="J6" i="39"/>
  <c r="J7" i="39"/>
  <c r="J8" i="39"/>
  <c r="J9" i="39"/>
  <c r="J10" i="39"/>
  <c r="J11" i="39"/>
  <c r="J12" i="39"/>
  <c r="J13" i="39"/>
  <c r="J14" i="39"/>
  <c r="J15" i="39"/>
  <c r="J16" i="39"/>
  <c r="J17" i="39"/>
  <c r="H4" i="39"/>
  <c r="I5" i="39"/>
  <c r="I6" i="39"/>
  <c r="I7" i="39"/>
  <c r="I8" i="39"/>
  <c r="I9" i="39"/>
  <c r="I10" i="39"/>
  <c r="I11" i="39"/>
  <c r="I12" i="39"/>
  <c r="I13" i="39"/>
  <c r="I14" i="39"/>
  <c r="I15" i="39"/>
  <c r="I16" i="39"/>
  <c r="I17" i="39"/>
  <c r="I4" i="39"/>
  <c r="H5" i="39"/>
  <c r="H6" i="39"/>
  <c r="H7" i="39"/>
  <c r="H8" i="39"/>
  <c r="H9" i="39"/>
  <c r="H10" i="39"/>
  <c r="H11" i="39"/>
  <c r="H12" i="39"/>
  <c r="H13" i="39"/>
  <c r="H14" i="39"/>
  <c r="H15" i="39"/>
  <c r="H16" i="39"/>
  <c r="E5" i="39"/>
  <c r="E6" i="39"/>
  <c r="E8" i="39"/>
  <c r="E10" i="39"/>
  <c r="E11" i="39"/>
  <c r="E12" i="39"/>
  <c r="E13" i="39"/>
  <c r="E14" i="39"/>
  <c r="E15" i="39"/>
  <c r="E16" i="39"/>
  <c r="E17" i="39"/>
  <c r="E4" i="39"/>
  <c r="D17" i="39"/>
  <c r="J18" i="39" l="1"/>
  <c r="K18" i="39"/>
  <c r="C9" i="39"/>
  <c r="C17" i="39"/>
  <c r="C5" i="39"/>
  <c r="C7" i="39"/>
  <c r="C13" i="39"/>
  <c r="C11" i="39"/>
  <c r="C10" i="39"/>
  <c r="C12" i="39"/>
  <c r="C8" i="39"/>
  <c r="C6" i="39"/>
  <c r="C16" i="39"/>
  <c r="C15" i="39"/>
  <c r="C14" i="39"/>
  <c r="C4" i="39"/>
  <c r="L18" i="39"/>
  <c r="D18" i="39" l="1"/>
  <c r="E18" i="39"/>
  <c r="H18" i="39"/>
  <c r="I18" i="39"/>
  <c r="C18" i="39" l="1"/>
  <c r="E26" i="27"/>
  <c r="F26" i="27"/>
  <c r="G26" i="27"/>
  <c r="H26" i="27"/>
  <c r="I26" i="27"/>
  <c r="K26" i="27"/>
  <c r="M26" i="27"/>
  <c r="N26" i="27"/>
  <c r="P26" i="27"/>
  <c r="Q26" i="27"/>
  <c r="S26" i="27"/>
  <c r="T26" i="27"/>
  <c r="E18" i="27"/>
  <c r="F18" i="27"/>
  <c r="G18" i="27"/>
  <c r="H18" i="27"/>
  <c r="I18" i="27"/>
  <c r="K18" i="27"/>
  <c r="M18" i="27"/>
  <c r="N18" i="27"/>
  <c r="P18" i="27"/>
  <c r="Q18" i="27"/>
  <c r="S18" i="27"/>
  <c r="T18" i="27"/>
  <c r="E19" i="27"/>
  <c r="F19" i="27"/>
  <c r="G19" i="27"/>
  <c r="H19" i="27"/>
  <c r="I19" i="27"/>
  <c r="K19" i="27"/>
  <c r="M19" i="27"/>
  <c r="N19" i="27"/>
  <c r="P19" i="27"/>
  <c r="Q19" i="27"/>
  <c r="S19" i="27"/>
  <c r="T19" i="27"/>
  <c r="E20" i="27"/>
  <c r="F20" i="27"/>
  <c r="G20" i="27"/>
  <c r="H20" i="27"/>
  <c r="I20" i="27"/>
  <c r="K20" i="27"/>
  <c r="M20" i="27"/>
  <c r="N20" i="27"/>
  <c r="P20" i="27"/>
  <c r="Q20" i="27"/>
  <c r="S20" i="27"/>
  <c r="T20" i="27"/>
  <c r="N29" i="27"/>
  <c r="O29" i="27" s="1"/>
  <c r="I29" i="27"/>
  <c r="J29" i="27" s="1"/>
  <c r="O19" i="27" l="1"/>
  <c r="U19" i="27"/>
  <c r="U26" i="27"/>
  <c r="U20" i="27"/>
  <c r="U18" i="27"/>
  <c r="O20" i="27"/>
  <c r="O18" i="27"/>
  <c r="O26" i="27"/>
  <c r="J20" i="27"/>
  <c r="J19" i="27"/>
  <c r="J18" i="27"/>
  <c r="J26" i="27"/>
  <c r="D6" i="27"/>
  <c r="D8" i="27"/>
  <c r="D10" i="27"/>
  <c r="D12" i="27"/>
  <c r="D13" i="27"/>
  <c r="D14" i="27"/>
  <c r="D16" i="27"/>
  <c r="D17" i="27"/>
  <c r="D21" i="27"/>
  <c r="D22" i="27"/>
  <c r="D24" i="27"/>
  <c r="D25" i="27"/>
  <c r="D28" i="27"/>
  <c r="D30" i="27"/>
  <c r="D31" i="27"/>
  <c r="D32" i="27"/>
  <c r="D33" i="27"/>
  <c r="D34" i="27"/>
  <c r="D35" i="27"/>
  <c r="D40" i="27"/>
  <c r="D46" i="27"/>
  <c r="D3" i="27"/>
  <c r="C6" i="27"/>
  <c r="C8" i="27"/>
  <c r="C9" i="27"/>
  <c r="C10" i="27"/>
  <c r="C12" i="27"/>
  <c r="C3" i="27"/>
  <c r="R8" i="27" l="1"/>
  <c r="L8" i="27"/>
  <c r="R6" i="27"/>
  <c r="L6" i="27"/>
  <c r="L10" i="27"/>
  <c r="R10" i="27"/>
  <c r="L3" i="27"/>
  <c r="R3" i="27"/>
  <c r="R12" i="27"/>
  <c r="L12" i="27"/>
  <c r="L9" i="27"/>
  <c r="R9" i="27"/>
  <c r="V19" i="27"/>
  <c r="V26" i="27"/>
  <c r="V20" i="27"/>
  <c r="V18" i="27"/>
  <c r="I49" i="27"/>
  <c r="N49" i="27"/>
  <c r="I43" i="27"/>
  <c r="N43" i="27"/>
  <c r="I37" i="27"/>
  <c r="N37" i="27"/>
  <c r="I31" i="27"/>
  <c r="N31" i="27"/>
  <c r="I23" i="27"/>
  <c r="N23" i="27"/>
  <c r="I14" i="27"/>
  <c r="N14" i="27"/>
  <c r="I8" i="27"/>
  <c r="N8" i="27"/>
  <c r="I48" i="27"/>
  <c r="N48" i="27"/>
  <c r="I42" i="27"/>
  <c r="N42" i="27"/>
  <c r="I36" i="27"/>
  <c r="N36" i="27"/>
  <c r="I30" i="27"/>
  <c r="N30" i="27"/>
  <c r="I22" i="27"/>
  <c r="N22" i="27"/>
  <c r="I13" i="27"/>
  <c r="N13" i="27"/>
  <c r="I7" i="27"/>
  <c r="N7" i="27"/>
  <c r="I41" i="27"/>
  <c r="N41" i="27"/>
  <c r="I21" i="27"/>
  <c r="N21" i="27"/>
  <c r="I35" i="27"/>
  <c r="N35" i="27"/>
  <c r="I46" i="27"/>
  <c r="N46" i="27"/>
  <c r="I40" i="27"/>
  <c r="N40" i="27"/>
  <c r="I34" i="27"/>
  <c r="N34" i="27"/>
  <c r="I27" i="27"/>
  <c r="N27" i="27"/>
  <c r="I17" i="27"/>
  <c r="N17" i="27"/>
  <c r="I11" i="27"/>
  <c r="N11" i="27"/>
  <c r="I5" i="27"/>
  <c r="N5" i="27"/>
  <c r="I28" i="27"/>
  <c r="N28" i="27"/>
  <c r="I12" i="27"/>
  <c r="N12" i="27"/>
  <c r="I6" i="27"/>
  <c r="N6" i="27"/>
  <c r="I3" i="27"/>
  <c r="N3" i="27"/>
  <c r="I45" i="27"/>
  <c r="N45" i="27"/>
  <c r="I39" i="27"/>
  <c r="N39" i="27"/>
  <c r="I33" i="27"/>
  <c r="N33" i="27"/>
  <c r="I25" i="27"/>
  <c r="N25" i="27"/>
  <c r="I16" i="27"/>
  <c r="N16" i="27"/>
  <c r="I10" i="27"/>
  <c r="N10" i="27"/>
  <c r="I4" i="27"/>
  <c r="N4" i="27"/>
  <c r="I47" i="27"/>
  <c r="N47" i="27"/>
  <c r="I50" i="27"/>
  <c r="N50" i="27"/>
  <c r="I44" i="27"/>
  <c r="N44" i="27"/>
  <c r="I38" i="27"/>
  <c r="N38" i="27"/>
  <c r="I32" i="27"/>
  <c r="N32" i="27"/>
  <c r="I24" i="27"/>
  <c r="N24" i="27"/>
  <c r="I15" i="27"/>
  <c r="N15" i="27"/>
  <c r="I9" i="27"/>
  <c r="N9" i="27"/>
  <c r="R51" i="27" l="1"/>
  <c r="L51" i="27"/>
  <c r="N51" i="27"/>
  <c r="I51" i="27"/>
  <c r="AA51" i="27" l="1"/>
  <c r="Z51" i="27"/>
  <c r="X51" i="27" l="1"/>
  <c r="Q34" i="27" l="1"/>
  <c r="F34" i="27"/>
  <c r="M34" i="27"/>
  <c r="K34" i="27"/>
  <c r="T34" i="27"/>
  <c r="H34" i="27"/>
  <c r="S34" i="27"/>
  <c r="P34" i="27"/>
  <c r="G34" i="27"/>
  <c r="E34" i="27"/>
  <c r="S6" i="27"/>
  <c r="G6" i="27"/>
  <c r="Q6" i="27"/>
  <c r="P6" i="27"/>
  <c r="M6" i="27"/>
  <c r="K6" i="27"/>
  <c r="T6" i="27"/>
  <c r="H6" i="27"/>
  <c r="E6" i="27"/>
  <c r="F6" i="27"/>
  <c r="S12" i="27"/>
  <c r="G12" i="27"/>
  <c r="Q12" i="27"/>
  <c r="P12" i="27"/>
  <c r="M12" i="27"/>
  <c r="K12" i="27"/>
  <c r="T12" i="27"/>
  <c r="F12" i="27"/>
  <c r="H12" i="27"/>
  <c r="E12" i="27"/>
  <c r="S21" i="27"/>
  <c r="G21" i="27"/>
  <c r="Q21" i="27"/>
  <c r="P21" i="27"/>
  <c r="M21" i="27"/>
  <c r="K21" i="27"/>
  <c r="T21" i="27"/>
  <c r="H21" i="27"/>
  <c r="F21" i="27"/>
  <c r="E21" i="27"/>
  <c r="S28" i="27"/>
  <c r="G28" i="27"/>
  <c r="Q28" i="27"/>
  <c r="P28" i="27"/>
  <c r="M28" i="27"/>
  <c r="K28" i="27"/>
  <c r="T28" i="27"/>
  <c r="H28" i="27"/>
  <c r="E28" i="27"/>
  <c r="F28" i="27"/>
  <c r="S35" i="27"/>
  <c r="G35" i="27"/>
  <c r="Q35" i="27"/>
  <c r="P35" i="27"/>
  <c r="M35" i="27"/>
  <c r="K35" i="27"/>
  <c r="T35" i="27"/>
  <c r="F35" i="27"/>
  <c r="H35" i="27"/>
  <c r="E35" i="27"/>
  <c r="S41" i="27"/>
  <c r="G41" i="27"/>
  <c r="Q41" i="27"/>
  <c r="P41" i="27"/>
  <c r="M41" i="27"/>
  <c r="K41" i="27"/>
  <c r="T41" i="27"/>
  <c r="H41" i="27"/>
  <c r="F41" i="27"/>
  <c r="E41" i="27"/>
  <c r="S47" i="27"/>
  <c r="G47" i="27"/>
  <c r="Q47" i="27"/>
  <c r="P47" i="27"/>
  <c r="M47" i="27"/>
  <c r="K47" i="27"/>
  <c r="H47" i="27"/>
  <c r="E47" i="27"/>
  <c r="T47" i="27"/>
  <c r="F47" i="27"/>
  <c r="Q17" i="27"/>
  <c r="F17" i="27"/>
  <c r="M17" i="27"/>
  <c r="K17" i="27"/>
  <c r="T17" i="27"/>
  <c r="H17" i="27"/>
  <c r="E17" i="27"/>
  <c r="P17" i="27"/>
  <c r="S17" i="27"/>
  <c r="G17" i="27"/>
  <c r="T22" i="27"/>
  <c r="H22" i="27"/>
  <c r="S22" i="27"/>
  <c r="Q22" i="27"/>
  <c r="P22" i="27"/>
  <c r="M22" i="27"/>
  <c r="G22" i="27"/>
  <c r="K22" i="27"/>
  <c r="E22" i="27"/>
  <c r="F22" i="27"/>
  <c r="T30" i="27"/>
  <c r="H30" i="27"/>
  <c r="S30" i="27"/>
  <c r="Q30" i="27"/>
  <c r="P30" i="27"/>
  <c r="M30" i="27"/>
  <c r="E30" i="27"/>
  <c r="K30" i="27"/>
  <c r="G30" i="27"/>
  <c r="F30" i="27"/>
  <c r="T36" i="27"/>
  <c r="H36" i="27"/>
  <c r="S36" i="27"/>
  <c r="Q36" i="27"/>
  <c r="P36" i="27"/>
  <c r="M36" i="27"/>
  <c r="K36" i="27"/>
  <c r="E36" i="27"/>
  <c r="F36" i="27"/>
  <c r="G36" i="27"/>
  <c r="T42" i="27"/>
  <c r="H42" i="27"/>
  <c r="S42" i="27"/>
  <c r="Q42" i="27"/>
  <c r="P42" i="27"/>
  <c r="M42" i="27"/>
  <c r="G42" i="27"/>
  <c r="K42" i="27"/>
  <c r="E42" i="27"/>
  <c r="F42" i="27"/>
  <c r="T48" i="27"/>
  <c r="H48" i="27"/>
  <c r="S48" i="27"/>
  <c r="Q48" i="27"/>
  <c r="P48" i="27"/>
  <c r="M48" i="27"/>
  <c r="E48" i="27"/>
  <c r="K48" i="27"/>
  <c r="G48" i="27"/>
  <c r="F48" i="27"/>
  <c r="Q27" i="27"/>
  <c r="F27" i="27"/>
  <c r="M27" i="27"/>
  <c r="K27" i="27"/>
  <c r="T27" i="27"/>
  <c r="H27" i="27"/>
  <c r="S27" i="27"/>
  <c r="E27" i="27"/>
  <c r="P27" i="27"/>
  <c r="G27" i="27"/>
  <c r="T13" i="27"/>
  <c r="H13" i="27"/>
  <c r="S13" i="27"/>
  <c r="Q13" i="27"/>
  <c r="P13" i="27"/>
  <c r="M13" i="27"/>
  <c r="K13" i="27"/>
  <c r="E13" i="27"/>
  <c r="F13" i="27"/>
  <c r="G13" i="27"/>
  <c r="K23" i="27"/>
  <c r="T23" i="27"/>
  <c r="S23" i="27"/>
  <c r="Q23" i="27"/>
  <c r="P23" i="27"/>
  <c r="E23" i="27"/>
  <c r="M23" i="27"/>
  <c r="F23" i="27"/>
  <c r="G23" i="27"/>
  <c r="H23" i="27"/>
  <c r="K31" i="27"/>
  <c r="T31" i="27"/>
  <c r="S31" i="27"/>
  <c r="Q31" i="27"/>
  <c r="P31" i="27"/>
  <c r="E31" i="27"/>
  <c r="H31" i="27"/>
  <c r="M31" i="27"/>
  <c r="F31" i="27"/>
  <c r="G31" i="27"/>
  <c r="K37" i="27"/>
  <c r="T37" i="27"/>
  <c r="S37" i="27"/>
  <c r="Q37" i="27"/>
  <c r="P37" i="27"/>
  <c r="E37" i="27"/>
  <c r="F37" i="27"/>
  <c r="M37" i="27"/>
  <c r="H37" i="27"/>
  <c r="G37" i="27"/>
  <c r="K43" i="27"/>
  <c r="T43" i="27"/>
  <c r="S43" i="27"/>
  <c r="Q43" i="27"/>
  <c r="P43" i="27"/>
  <c r="E43" i="27"/>
  <c r="M43" i="27"/>
  <c r="F43" i="27"/>
  <c r="G43" i="27"/>
  <c r="H43" i="27"/>
  <c r="K49" i="27"/>
  <c r="T49" i="27"/>
  <c r="S49" i="27"/>
  <c r="Q49" i="27"/>
  <c r="P49" i="27"/>
  <c r="E49" i="27"/>
  <c r="M49" i="27"/>
  <c r="H49" i="27"/>
  <c r="F49" i="27"/>
  <c r="G49" i="27"/>
  <c r="Q5" i="27"/>
  <c r="F5" i="27"/>
  <c r="P5" i="27"/>
  <c r="M5" i="27"/>
  <c r="K5" i="27"/>
  <c r="T5" i="27"/>
  <c r="H5" i="27"/>
  <c r="E5" i="27"/>
  <c r="S5" i="27"/>
  <c r="G5" i="27"/>
  <c r="Q40" i="27"/>
  <c r="F40" i="27"/>
  <c r="M40" i="27"/>
  <c r="K40" i="27"/>
  <c r="T40" i="27"/>
  <c r="H40" i="27"/>
  <c r="S40" i="27"/>
  <c r="E40" i="27"/>
  <c r="G40" i="27"/>
  <c r="P40" i="27"/>
  <c r="K14" i="27"/>
  <c r="T14" i="27"/>
  <c r="S14" i="27"/>
  <c r="Q14" i="27"/>
  <c r="P14" i="27"/>
  <c r="E14" i="27"/>
  <c r="F14" i="27"/>
  <c r="M14" i="27"/>
  <c r="H14" i="27"/>
  <c r="G14" i="27"/>
  <c r="M15" i="27"/>
  <c r="T15" i="27"/>
  <c r="H15" i="27"/>
  <c r="S15" i="27"/>
  <c r="Q15" i="27"/>
  <c r="F15" i="27"/>
  <c r="K15" i="27"/>
  <c r="E15" i="27"/>
  <c r="P15" i="27"/>
  <c r="G15" i="27"/>
  <c r="M32" i="27"/>
  <c r="T32" i="27"/>
  <c r="H32" i="27"/>
  <c r="S32" i="27"/>
  <c r="Q32" i="27"/>
  <c r="F32" i="27"/>
  <c r="P32" i="27"/>
  <c r="G32" i="27"/>
  <c r="E32" i="27"/>
  <c r="K32" i="27"/>
  <c r="M38" i="27"/>
  <c r="T38" i="27"/>
  <c r="H38" i="27"/>
  <c r="S38" i="27"/>
  <c r="Q38" i="27"/>
  <c r="F38" i="27"/>
  <c r="K38" i="27"/>
  <c r="E38" i="27"/>
  <c r="P38" i="27"/>
  <c r="G38" i="27"/>
  <c r="M44" i="27"/>
  <c r="T44" i="27"/>
  <c r="H44" i="27"/>
  <c r="S44" i="27"/>
  <c r="Q44" i="27"/>
  <c r="F44" i="27"/>
  <c r="G44" i="27"/>
  <c r="E44" i="27"/>
  <c r="P44" i="27"/>
  <c r="K44" i="27"/>
  <c r="M50" i="27"/>
  <c r="T50" i="27"/>
  <c r="H50" i="27"/>
  <c r="S50" i="27"/>
  <c r="Q50" i="27"/>
  <c r="F50" i="27"/>
  <c r="P50" i="27"/>
  <c r="G50" i="27"/>
  <c r="K50" i="27"/>
  <c r="E50" i="27"/>
  <c r="Q11" i="27"/>
  <c r="F11" i="27"/>
  <c r="M11" i="27"/>
  <c r="K11" i="27"/>
  <c r="T11" i="27"/>
  <c r="H11" i="27"/>
  <c r="P11" i="27"/>
  <c r="G11" i="27"/>
  <c r="S11" i="27"/>
  <c r="E11" i="27"/>
  <c r="Q46" i="27"/>
  <c r="F46" i="27"/>
  <c r="M46" i="27"/>
  <c r="K46" i="27"/>
  <c r="T46" i="27"/>
  <c r="H46" i="27"/>
  <c r="E46" i="27"/>
  <c r="S46" i="27"/>
  <c r="G46" i="27"/>
  <c r="P46" i="27"/>
  <c r="T7" i="27"/>
  <c r="H7" i="27"/>
  <c r="S7" i="27"/>
  <c r="Q7" i="27"/>
  <c r="P7" i="27"/>
  <c r="M7" i="27"/>
  <c r="E7" i="27"/>
  <c r="K7" i="27"/>
  <c r="G7" i="27"/>
  <c r="F7" i="27"/>
  <c r="K8" i="27"/>
  <c r="T8" i="27"/>
  <c r="S8" i="27"/>
  <c r="G8" i="27"/>
  <c r="Q8" i="27"/>
  <c r="P8" i="27"/>
  <c r="E8" i="27"/>
  <c r="H8" i="27"/>
  <c r="M8" i="27"/>
  <c r="F8" i="27"/>
  <c r="P3" i="27"/>
  <c r="E3" i="27"/>
  <c r="K3" i="27"/>
  <c r="T3" i="27"/>
  <c r="S3" i="27"/>
  <c r="G3" i="27"/>
  <c r="F3" i="27"/>
  <c r="H3" i="27"/>
  <c r="Q3" i="27"/>
  <c r="M3" i="27"/>
  <c r="M9" i="27"/>
  <c r="T9" i="27"/>
  <c r="H9" i="27"/>
  <c r="S9" i="27"/>
  <c r="Q9" i="27"/>
  <c r="F9" i="27"/>
  <c r="P9" i="27"/>
  <c r="G9" i="27"/>
  <c r="K9" i="27"/>
  <c r="E9" i="27"/>
  <c r="M24" i="27"/>
  <c r="T24" i="27"/>
  <c r="H24" i="27"/>
  <c r="S24" i="27"/>
  <c r="Q24" i="27"/>
  <c r="F24" i="27"/>
  <c r="G24" i="27"/>
  <c r="P24" i="27"/>
  <c r="E24" i="27"/>
  <c r="K24" i="27"/>
  <c r="P4" i="27"/>
  <c r="E4" i="27"/>
  <c r="K4" i="27"/>
  <c r="T4" i="27"/>
  <c r="H4" i="27"/>
  <c r="S4" i="27"/>
  <c r="G4" i="27"/>
  <c r="M4" i="27"/>
  <c r="F4" i="27"/>
  <c r="Q4" i="27"/>
  <c r="P10" i="27"/>
  <c r="E10" i="27"/>
  <c r="K10" i="27"/>
  <c r="T10" i="27"/>
  <c r="H10" i="27"/>
  <c r="S10" i="27"/>
  <c r="G10" i="27"/>
  <c r="F10" i="27"/>
  <c r="Q10" i="27"/>
  <c r="M10" i="27"/>
  <c r="P16" i="27"/>
  <c r="E16" i="27"/>
  <c r="K16" i="27"/>
  <c r="T16" i="27"/>
  <c r="H16" i="27"/>
  <c r="S16" i="27"/>
  <c r="G16" i="27"/>
  <c r="Q16" i="27"/>
  <c r="M16" i="27"/>
  <c r="F16" i="27"/>
  <c r="P25" i="27"/>
  <c r="E25" i="27"/>
  <c r="K25" i="27"/>
  <c r="T25" i="27"/>
  <c r="H25" i="27"/>
  <c r="S25" i="27"/>
  <c r="G25" i="27"/>
  <c r="Q25" i="27"/>
  <c r="M25" i="27"/>
  <c r="F25" i="27"/>
  <c r="P33" i="27"/>
  <c r="E33" i="27"/>
  <c r="K33" i="27"/>
  <c r="T33" i="27"/>
  <c r="H33" i="27"/>
  <c r="S33" i="27"/>
  <c r="G33" i="27"/>
  <c r="Q33" i="27"/>
  <c r="F33" i="27"/>
  <c r="M33" i="27"/>
  <c r="P39" i="27"/>
  <c r="E39" i="27"/>
  <c r="K39" i="27"/>
  <c r="T39" i="27"/>
  <c r="H39" i="27"/>
  <c r="S39" i="27"/>
  <c r="G39" i="27"/>
  <c r="Q39" i="27"/>
  <c r="F39" i="27"/>
  <c r="M39" i="27"/>
  <c r="P45" i="27"/>
  <c r="E45" i="27"/>
  <c r="K45" i="27"/>
  <c r="T45" i="27"/>
  <c r="S45" i="27"/>
  <c r="G45" i="27"/>
  <c r="H45" i="27"/>
  <c r="M45" i="27"/>
  <c r="F45" i="27"/>
  <c r="Q45" i="27"/>
  <c r="U8" i="27" l="1"/>
  <c r="O4" i="27"/>
  <c r="O42" i="27"/>
  <c r="O35" i="27"/>
  <c r="O13" i="27"/>
  <c r="O41" i="27"/>
  <c r="O12" i="27"/>
  <c r="O3" i="27"/>
  <c r="O22" i="27"/>
  <c r="O9" i="27"/>
  <c r="O44" i="27"/>
  <c r="O8" i="27"/>
  <c r="O30" i="27"/>
  <c r="O48" i="27"/>
  <c r="O39" i="27"/>
  <c r="O43" i="27"/>
  <c r="O15" i="27"/>
  <c r="O49" i="27"/>
  <c r="O6" i="27"/>
  <c r="O34" i="27"/>
  <c r="O46" i="27"/>
  <c r="O10" i="27"/>
  <c r="O16" i="27"/>
  <c r="O24" i="27"/>
  <c r="O38" i="27"/>
  <c r="O14" i="27"/>
  <c r="O23" i="27"/>
  <c r="O25" i="27"/>
  <c r="O50" i="27"/>
  <c r="O31" i="27"/>
  <c r="O47" i="27"/>
  <c r="O33" i="27"/>
  <c r="O37" i="27"/>
  <c r="O5" i="27"/>
  <c r="O27" i="27"/>
  <c r="O17" i="27"/>
  <c r="O7" i="27"/>
  <c r="O32" i="27"/>
  <c r="O21" i="27"/>
  <c r="O45" i="27"/>
  <c r="O11" i="27"/>
  <c r="O40" i="27"/>
  <c r="O36" i="27"/>
  <c r="O28" i="27"/>
  <c r="J11" i="27"/>
  <c r="J32" i="27"/>
  <c r="J7" i="27"/>
  <c r="J5" i="27"/>
  <c r="J38" i="27"/>
  <c r="J12" i="27"/>
  <c r="J6" i="27"/>
  <c r="J28" i="27"/>
  <c r="J34" i="27"/>
  <c r="J24" i="27"/>
  <c r="J42" i="27"/>
  <c r="J22" i="27"/>
  <c r="J41" i="27"/>
  <c r="J45" i="27"/>
  <c r="J25" i="27"/>
  <c r="J49" i="27"/>
  <c r="J31" i="27"/>
  <c r="J13" i="27"/>
  <c r="J21" i="27"/>
  <c r="J4" i="27"/>
  <c r="J9" i="27"/>
  <c r="J3" i="27"/>
  <c r="J8" i="27"/>
  <c r="J40" i="27"/>
  <c r="J33" i="27"/>
  <c r="J37" i="27"/>
  <c r="J10" i="27"/>
  <c r="J48" i="27"/>
  <c r="J30" i="27"/>
  <c r="J47" i="27"/>
  <c r="J35" i="27"/>
  <c r="J39" i="27"/>
  <c r="J16" i="27"/>
  <c r="J46" i="27"/>
  <c r="J50" i="27"/>
  <c r="J44" i="27"/>
  <c r="J15" i="27"/>
  <c r="J14" i="27"/>
  <c r="J43" i="27"/>
  <c r="J23" i="27"/>
  <c r="J27" i="27"/>
  <c r="J36" i="27"/>
  <c r="J17" i="27"/>
  <c r="U3" i="27"/>
  <c r="W51" i="27"/>
  <c r="Y51" i="27"/>
  <c r="U42" i="27"/>
  <c r="U48" i="27"/>
  <c r="U47" i="27"/>
  <c r="U46" i="27"/>
  <c r="U49" i="27"/>
  <c r="U45" i="27"/>
  <c r="U50" i="27"/>
  <c r="T51" i="27"/>
  <c r="U43" i="27"/>
  <c r="U28" i="27"/>
  <c r="U23" i="27"/>
  <c r="U31" i="27"/>
  <c r="U37" i="27"/>
  <c r="U12" i="27"/>
  <c r="H51" i="27"/>
  <c r="S51" i="27"/>
  <c r="U35" i="27"/>
  <c r="P51" i="27"/>
  <c r="U21" i="27"/>
  <c r="Q51" i="27"/>
  <c r="E51" i="27"/>
  <c r="U6" i="27"/>
  <c r="U44" i="27"/>
  <c r="F51" i="27"/>
  <c r="M51" i="27"/>
  <c r="U41" i="27"/>
  <c r="U16" i="27"/>
  <c r="U30" i="27"/>
  <c r="G51" i="27"/>
  <c r="U36" i="27"/>
  <c r="U11" i="27"/>
  <c r="U33" i="27"/>
  <c r="U40" i="27"/>
  <c r="U5" i="27"/>
  <c r="K51" i="27"/>
  <c r="U24" i="27"/>
  <c r="U39" i="27"/>
  <c r="U4" i="27"/>
  <c r="U13" i="27"/>
  <c r="U32" i="27"/>
  <c r="U22" i="27"/>
  <c r="U38" i="27"/>
  <c r="U7" i="27"/>
  <c r="U14" i="27"/>
  <c r="U27" i="27"/>
  <c r="U9" i="27"/>
  <c r="U25" i="27"/>
  <c r="U34" i="27"/>
  <c r="U15" i="27"/>
  <c r="U10" i="27"/>
  <c r="U17" i="27"/>
  <c r="U51" i="27" l="1"/>
  <c r="V46" i="27"/>
  <c r="V4" i="27"/>
  <c r="V3" i="27"/>
  <c r="V6" i="27"/>
  <c r="V9" i="27"/>
  <c r="V25" i="27"/>
  <c r="V32" i="27"/>
  <c r="V17" i="27"/>
  <c r="V7" i="27"/>
  <c r="V35" i="27"/>
  <c r="V10" i="27"/>
  <c r="V30" i="27"/>
  <c r="V45" i="27"/>
  <c r="V15" i="27"/>
  <c r="V22" i="27"/>
  <c r="V24" i="27"/>
  <c r="V16" i="27"/>
  <c r="V43" i="27"/>
  <c r="V14" i="27"/>
  <c r="V27" i="27"/>
  <c r="V38" i="27"/>
  <c r="V11" i="27"/>
  <c r="V40" i="27"/>
  <c r="V23" i="27"/>
  <c r="V47" i="27"/>
  <c r="V13" i="27"/>
  <c r="V33" i="27"/>
  <c r="V36" i="27"/>
  <c r="V44" i="27"/>
  <c r="V21" i="27"/>
  <c r="V28" i="27"/>
  <c r="V50" i="27"/>
  <c r="V39" i="27"/>
  <c r="V5" i="27"/>
  <c r="V12" i="27"/>
  <c r="V48" i="27"/>
  <c r="V37" i="27"/>
  <c r="V42" i="27"/>
  <c r="V34" i="27"/>
  <c r="V8" i="27"/>
  <c r="V41" i="27"/>
  <c r="V31" i="27"/>
  <c r="V49" i="27"/>
  <c r="O51" i="27"/>
  <c r="J51" i="27"/>
  <c r="V51" i="27" l="1"/>
  <c r="U53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47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Тошкент шахар БХО балансига утказилган, лекин АБСда шахарда кушилмаган.</t>
        </r>
      </text>
    </comment>
    <comment ref="C51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IABSга қўшилмаган</t>
        </r>
      </text>
    </comment>
  </commentList>
</comments>
</file>

<file path=xl/sharedStrings.xml><?xml version="1.0" encoding="utf-8"?>
<sst xmlns="http://schemas.openxmlformats.org/spreadsheetml/2006/main" count="3515" uniqueCount="1763">
  <si>
    <t>№</t>
  </si>
  <si>
    <t>Модели</t>
  </si>
  <si>
    <t>Сотиб олинган сана</t>
  </si>
  <si>
    <t>Инвентар id рақами</t>
  </si>
  <si>
    <t>Merchant id</t>
  </si>
  <si>
    <t>Term id</t>
  </si>
  <si>
    <t>МФО</t>
  </si>
  <si>
    <t>Филиал</t>
  </si>
  <si>
    <t>Тўлов тизими тури</t>
  </si>
  <si>
    <t>Манзили</t>
  </si>
  <si>
    <t>Мўлжал</t>
  </si>
  <si>
    <t>Транзит х/р (23504)</t>
  </si>
  <si>
    <t>Серия рақами</t>
  </si>
  <si>
    <t>00051</t>
  </si>
  <si>
    <t>NCR 6623</t>
  </si>
  <si>
    <t>2019 йил август ойи</t>
  </si>
  <si>
    <t>Андижон вилояти</t>
  </si>
  <si>
    <t>Геолокация (long)</t>
  </si>
  <si>
    <t>Геолокация (alt)</t>
  </si>
  <si>
    <t>Банк биноси</t>
  </si>
  <si>
    <t>00075</t>
  </si>
  <si>
    <t>NCR 6622</t>
  </si>
  <si>
    <t>NCR 6682</t>
  </si>
  <si>
    <t>000750000007505</t>
  </si>
  <si>
    <t>027A099Q</t>
  </si>
  <si>
    <t>00076</t>
  </si>
  <si>
    <t>00085</t>
  </si>
  <si>
    <t>CINEO C2070</t>
  </si>
  <si>
    <t>Бухоро вилояти</t>
  </si>
  <si>
    <t>БХМ</t>
  </si>
  <si>
    <t>00086</t>
  </si>
  <si>
    <t>CINEO C4560</t>
  </si>
  <si>
    <t>Қашқадарё вилояти</t>
  </si>
  <si>
    <t>00207</t>
  </si>
  <si>
    <t>24/7</t>
  </si>
  <si>
    <t>900334340</t>
  </si>
  <si>
    <t>002070000020706</t>
  </si>
  <si>
    <t>027A09GO</t>
  </si>
  <si>
    <t>00224</t>
  </si>
  <si>
    <t>002240000022404</t>
  </si>
  <si>
    <t>027A09GW</t>
  </si>
  <si>
    <t>00354</t>
  </si>
  <si>
    <t>Сурхондарё вилояти</t>
  </si>
  <si>
    <t>00494</t>
  </si>
  <si>
    <t>00524</t>
  </si>
  <si>
    <t>Фарғона вилояти</t>
  </si>
  <si>
    <t>00531</t>
  </si>
  <si>
    <t>900334401</t>
  </si>
  <si>
    <t>900334457</t>
  </si>
  <si>
    <t>005310000053108</t>
  </si>
  <si>
    <t>027A094C</t>
  </si>
  <si>
    <t>005310000053107</t>
  </si>
  <si>
    <t>027A094A</t>
  </si>
  <si>
    <t>00591</t>
  </si>
  <si>
    <t>Қорақалпоғистон Республикаси</t>
  </si>
  <si>
    <t>005910000059107</t>
  </si>
  <si>
    <t>027A0CI8</t>
  </si>
  <si>
    <t>00616</t>
  </si>
  <si>
    <t>900334550</t>
  </si>
  <si>
    <t>900334581</t>
  </si>
  <si>
    <t>00853</t>
  </si>
  <si>
    <t>900330901</t>
  </si>
  <si>
    <t>900330903</t>
  </si>
  <si>
    <t>900334283</t>
  </si>
  <si>
    <t>00854</t>
  </si>
  <si>
    <t>900334516</t>
  </si>
  <si>
    <t>008540000085406</t>
  </si>
  <si>
    <t>027A09PT</t>
  </si>
  <si>
    <t>00855</t>
  </si>
  <si>
    <t>900334737</t>
  </si>
  <si>
    <t>008550000085508</t>
  </si>
  <si>
    <t>027A09HD</t>
  </si>
  <si>
    <t>00862</t>
  </si>
  <si>
    <t>00863</t>
  </si>
  <si>
    <t>Чирчиқ ш. Халқ бирлиги кўча кесишуви</t>
  </si>
  <si>
    <t>Чирчиқ ш. А.Навоий куча 187 уй</t>
  </si>
  <si>
    <t>900334364</t>
  </si>
  <si>
    <t>Тошкент вилояти</t>
  </si>
  <si>
    <t>Амирсой</t>
  </si>
  <si>
    <t>900334764</t>
  </si>
  <si>
    <t>900334765</t>
  </si>
  <si>
    <t>900334766</t>
  </si>
  <si>
    <t>00863000008630H</t>
  </si>
  <si>
    <t>027A0CKL</t>
  </si>
  <si>
    <t>Макро</t>
  </si>
  <si>
    <t>00863000008630I</t>
  </si>
  <si>
    <t>027A0DJJ</t>
  </si>
  <si>
    <t>CINEO C2040</t>
  </si>
  <si>
    <t>00868</t>
  </si>
  <si>
    <t>900334525</t>
  </si>
  <si>
    <t>900334526</t>
  </si>
  <si>
    <t>008680000086807</t>
  </si>
  <si>
    <t>027A091H</t>
  </si>
  <si>
    <t>00884</t>
  </si>
  <si>
    <t>00994</t>
  </si>
  <si>
    <t>900331284</t>
  </si>
  <si>
    <t>01022</t>
  </si>
  <si>
    <t>01034</t>
  </si>
  <si>
    <t>027A0DD4</t>
  </si>
  <si>
    <t>01034000010340B</t>
  </si>
  <si>
    <t>01045</t>
  </si>
  <si>
    <t>01100</t>
  </si>
  <si>
    <t>027A0982</t>
  </si>
  <si>
    <t>011000000110008</t>
  </si>
  <si>
    <t>027A0DHZ</t>
  </si>
  <si>
    <t>01100000011000C</t>
  </si>
  <si>
    <t>01152</t>
  </si>
  <si>
    <t>900334822</t>
  </si>
  <si>
    <t>900334864</t>
  </si>
  <si>
    <t>00853000008530K</t>
  </si>
  <si>
    <t>027A0DLB</t>
  </si>
  <si>
    <t>900334907</t>
  </si>
  <si>
    <t>900334927</t>
  </si>
  <si>
    <t>900334915</t>
  </si>
  <si>
    <t>00994000009940A</t>
  </si>
  <si>
    <t>027A0DM9</t>
  </si>
  <si>
    <t>900334957</t>
  </si>
  <si>
    <t>Наманган вилояти</t>
  </si>
  <si>
    <t>000750000007507</t>
  </si>
  <si>
    <t>027A0DMO</t>
  </si>
  <si>
    <t>900334964</t>
  </si>
  <si>
    <t>005240000052406</t>
  </si>
  <si>
    <t>027A0DNL</t>
  </si>
  <si>
    <t>900334990</t>
  </si>
  <si>
    <t>01034000010340D</t>
  </si>
  <si>
    <t>027A0DO9</t>
  </si>
  <si>
    <t>00207000002070M</t>
  </si>
  <si>
    <t>027A0DP2</t>
  </si>
  <si>
    <t>0051-01</t>
  </si>
  <si>
    <t>Банк биноси 24/7</t>
  </si>
  <si>
    <t>00405</t>
  </si>
  <si>
    <t>Тошкент шаҳри</t>
  </si>
  <si>
    <t>00403</t>
  </si>
  <si>
    <t>00427</t>
  </si>
  <si>
    <t>00435</t>
  </si>
  <si>
    <t>00434</t>
  </si>
  <si>
    <t>00397</t>
  </si>
  <si>
    <t>00428</t>
  </si>
  <si>
    <t>00086000000860T</t>
  </si>
  <si>
    <t>027A0DSY</t>
  </si>
  <si>
    <t>00354000003540C</t>
  </si>
  <si>
    <t>027A0DTL</t>
  </si>
  <si>
    <t>00854000008540D</t>
  </si>
  <si>
    <t>027A0DTU</t>
  </si>
  <si>
    <t>900335065</t>
  </si>
  <si>
    <t>900335169</t>
  </si>
  <si>
    <t>01034000010340E</t>
  </si>
  <si>
    <t>027A0E1B</t>
  </si>
  <si>
    <t>900335113</t>
  </si>
  <si>
    <t>900335115</t>
  </si>
  <si>
    <t>010450000104506</t>
  </si>
  <si>
    <t>027A09CC</t>
  </si>
  <si>
    <t>900335324</t>
  </si>
  <si>
    <t>011520000115208</t>
  </si>
  <si>
    <t>027A0E21</t>
  </si>
  <si>
    <t>900334962</t>
  </si>
  <si>
    <t>900335375</t>
  </si>
  <si>
    <t>00399</t>
  </si>
  <si>
    <t>00398</t>
  </si>
  <si>
    <t>00426</t>
  </si>
  <si>
    <t>00424</t>
  </si>
  <si>
    <t>00432</t>
  </si>
  <si>
    <t>00400</t>
  </si>
  <si>
    <t>00442</t>
  </si>
  <si>
    <t>00186</t>
  </si>
  <si>
    <t>00440</t>
  </si>
  <si>
    <t>Амалиёт Бошкармаси</t>
  </si>
  <si>
    <t>900335112</t>
  </si>
  <si>
    <t>900335319</t>
  </si>
  <si>
    <t>900335179</t>
  </si>
  <si>
    <t>0043400000434OQ</t>
  </si>
  <si>
    <t>027A0DXH</t>
  </si>
  <si>
    <t>00424000004240G</t>
  </si>
  <si>
    <t>00435000004350B</t>
  </si>
  <si>
    <t>027A0FTO</t>
  </si>
  <si>
    <t>027A0FO7</t>
  </si>
  <si>
    <t>01152000011520A</t>
  </si>
  <si>
    <t>ЖАМИ:</t>
  </si>
  <si>
    <t>HUMO</t>
  </si>
  <si>
    <t>00490</t>
  </si>
  <si>
    <t>900345843</t>
  </si>
  <si>
    <t>900344680</t>
  </si>
  <si>
    <t>010340000103417</t>
  </si>
  <si>
    <t>027A0N9L</t>
  </si>
  <si>
    <t>900346813</t>
  </si>
  <si>
    <t>900346992</t>
  </si>
  <si>
    <t>23504000600010463602</t>
  </si>
  <si>
    <t xml:space="preserve"> </t>
  </si>
  <si>
    <t>00994000009940V</t>
  </si>
  <si>
    <t>027A0T1D</t>
  </si>
  <si>
    <t>00994000009940Y</t>
  </si>
  <si>
    <t>027A0T1H</t>
  </si>
  <si>
    <t>009940000099410</t>
  </si>
  <si>
    <t>027A0T1V</t>
  </si>
  <si>
    <t>009940000099411</t>
  </si>
  <si>
    <t>027A0T1W</t>
  </si>
  <si>
    <t>900349494</t>
  </si>
  <si>
    <t>900349540</t>
  </si>
  <si>
    <t>900349495</t>
  </si>
  <si>
    <t>23504000400010852804</t>
  </si>
  <si>
    <t>23504000700010900800</t>
  </si>
  <si>
    <t>23504000400010900804</t>
  </si>
  <si>
    <t>23504000200010900603</t>
  </si>
  <si>
    <t>23504000800010902601</t>
  </si>
  <si>
    <t>23504000200010902800</t>
  </si>
  <si>
    <t>23504000300010901601</t>
  </si>
  <si>
    <t>23504000700010901603</t>
  </si>
  <si>
    <t>23504000500010901602</t>
  </si>
  <si>
    <t>23504000100010899805</t>
  </si>
  <si>
    <t>23504000000010899606</t>
  </si>
  <si>
    <t>23504000100010899607</t>
  </si>
  <si>
    <t>23504000500010899609</t>
  </si>
  <si>
    <t>23504000500010899612</t>
  </si>
  <si>
    <t>23504000800010898603</t>
  </si>
  <si>
    <t>23504000000010898604</t>
  </si>
  <si>
    <t>23504000100010898802</t>
  </si>
  <si>
    <t>004900001119802</t>
  </si>
  <si>
    <t>027A0X2U</t>
  </si>
  <si>
    <t>23504000500011198801</t>
  </si>
  <si>
    <t>10852</t>
  </si>
  <si>
    <t>10900</t>
  </si>
  <si>
    <t>11087</t>
  </si>
  <si>
    <t>11081</t>
  </si>
  <si>
    <t>11083</t>
  </si>
  <si>
    <t>11093</t>
  </si>
  <si>
    <t>11089</t>
  </si>
  <si>
    <t>11090</t>
  </si>
  <si>
    <t>10902</t>
  </si>
  <si>
    <t>10901</t>
  </si>
  <si>
    <t>10899</t>
  </si>
  <si>
    <t>11085</t>
  </si>
  <si>
    <t>11197</t>
  </si>
  <si>
    <t>11201</t>
  </si>
  <si>
    <t>10898</t>
  </si>
  <si>
    <t>11202</t>
  </si>
  <si>
    <t>11084</t>
  </si>
  <si>
    <t>11198</t>
  </si>
  <si>
    <t>11199</t>
  </si>
  <si>
    <t>11200</t>
  </si>
  <si>
    <t>11086</t>
  </si>
  <si>
    <t>11203</t>
  </si>
  <si>
    <t>11204</t>
  </si>
  <si>
    <t>11188</t>
  </si>
  <si>
    <t>11195</t>
  </si>
  <si>
    <t>11194</t>
  </si>
  <si>
    <t>10463</t>
  </si>
  <si>
    <t>11184</t>
  </si>
  <si>
    <t>23504000700011081602</t>
  </si>
  <si>
    <t>23504000100011081800</t>
  </si>
  <si>
    <t>23504000300011081801</t>
  </si>
  <si>
    <t>23504000000011083601</t>
  </si>
  <si>
    <t>23504000200011083800</t>
  </si>
  <si>
    <t>23504000200011084604</t>
  </si>
  <si>
    <t>23504000100011084802</t>
  </si>
  <si>
    <t>23504000700011084601</t>
  </si>
  <si>
    <t>23504000900011084611</t>
  </si>
  <si>
    <t>23504000100011084612</t>
  </si>
  <si>
    <t>23504000500011084815</t>
  </si>
  <si>
    <t>23504000200011084613</t>
  </si>
  <si>
    <t>23504000400011084814</t>
  </si>
  <si>
    <t>23504000900011084810</t>
  </si>
  <si>
    <t>23504000700011084817</t>
  </si>
  <si>
    <t>23504000300011085800</t>
  </si>
  <si>
    <t>23504000900011085804</t>
  </si>
  <si>
    <t>23504000100011085605</t>
  </si>
  <si>
    <t>23504000500011086603</t>
  </si>
  <si>
    <t>23504000700011086604</t>
  </si>
  <si>
    <t>23504000200011086802</t>
  </si>
  <si>
    <t>23504000900011087601</t>
  </si>
  <si>
    <t>23504000700011089801</t>
  </si>
  <si>
    <t>23504000000011090602</t>
  </si>
  <si>
    <t>23504000800011090801</t>
  </si>
  <si>
    <t>23504000000011090802</t>
  </si>
  <si>
    <t>23504000800011090601</t>
  </si>
  <si>
    <t>23504000900011093602</t>
  </si>
  <si>
    <t>23504000100011093801</t>
  </si>
  <si>
    <t>23504000500011197602</t>
  </si>
  <si>
    <t>23504000700011197603</t>
  </si>
  <si>
    <t>23504000900011197800</t>
  </si>
  <si>
    <t>23504000200011201602</t>
  </si>
  <si>
    <t>23504000600011201604</t>
  </si>
  <si>
    <t>23504000800011201605</t>
  </si>
  <si>
    <t>23504000000011201606</t>
  </si>
  <si>
    <t>23504000100011201607</t>
  </si>
  <si>
    <t>23504000200011201803</t>
  </si>
  <si>
    <t>23504000900011201802</t>
  </si>
  <si>
    <t>23504000700011202602</t>
  </si>
  <si>
    <t>23504000900011202603</t>
  </si>
  <si>
    <t>23504000200011202605</t>
  </si>
  <si>
    <t>23504000600011199601</t>
  </si>
  <si>
    <t>23504000000011200603</t>
  </si>
  <si>
    <t>23504000900011200609</t>
  </si>
  <si>
    <t>23504000600011200801</t>
  </si>
  <si>
    <t>23504000100011200804</t>
  </si>
  <si>
    <t>23504000300011200805</t>
  </si>
  <si>
    <t>23504000700011200807</t>
  </si>
  <si>
    <t>23504000100011203602</t>
  </si>
  <si>
    <t>23504000200011203800</t>
  </si>
  <si>
    <t>23504000800011203803</t>
  </si>
  <si>
    <t>23504000600011204602</t>
  </si>
  <si>
    <t>23504000900011204802</t>
  </si>
  <si>
    <t>23504000900011204803</t>
  </si>
  <si>
    <t>23504000100011188603</t>
  </si>
  <si>
    <t>23504000300011188604</t>
  </si>
  <si>
    <t>23504000500011195803</t>
  </si>
  <si>
    <t>23504000800011194603</t>
  </si>
  <si>
    <t>23504000000011194604</t>
  </si>
  <si>
    <t>23504000200011194804</t>
  </si>
  <si>
    <t>23504000600011184605</t>
  </si>
  <si>
    <t>23504000100011184608</t>
  </si>
  <si>
    <t>23504000500011184803</t>
  </si>
  <si>
    <t>23504000700011184804</t>
  </si>
  <si>
    <t>10107000800011087601</t>
  </si>
  <si>
    <t>10107000900011081800</t>
  </si>
  <si>
    <t>10107000600011081602</t>
  </si>
  <si>
    <t>10107000300010852804</t>
  </si>
  <si>
    <t>10107000600010900800</t>
  </si>
  <si>
    <t>10107000300010900804</t>
  </si>
  <si>
    <t>10107000100010900603</t>
  </si>
  <si>
    <t>10107000100011083800</t>
  </si>
  <si>
    <t>10107000900011083601</t>
  </si>
  <si>
    <t>10107000800011093602</t>
  </si>
  <si>
    <t>10107000900011093801</t>
  </si>
  <si>
    <t>10107000600011089801</t>
  </si>
  <si>
    <t>10107000900011090602</t>
  </si>
  <si>
    <t>10107000700011090801</t>
  </si>
  <si>
    <t>10107000700011090601</t>
  </si>
  <si>
    <t>10107000900011090802</t>
  </si>
  <si>
    <t>10107000100010902800</t>
  </si>
  <si>
    <t>10107000700010902601</t>
  </si>
  <si>
    <t>10107000400010901602</t>
  </si>
  <si>
    <t>10107000200010901601</t>
  </si>
  <si>
    <t>10107000600010901603</t>
  </si>
  <si>
    <t>10107000900010899606</t>
  </si>
  <si>
    <t>10107000400010899609</t>
  </si>
  <si>
    <t>10107000900010899607</t>
  </si>
  <si>
    <t>10107000900010899805</t>
  </si>
  <si>
    <t>10107000400010899612</t>
  </si>
  <si>
    <t>10107000200011085800</t>
  </si>
  <si>
    <t>10107000000011085804</t>
  </si>
  <si>
    <t>10107000900011085605</t>
  </si>
  <si>
    <t>10107000800011197800</t>
  </si>
  <si>
    <t>10107000400011197602</t>
  </si>
  <si>
    <t>10107000600011197603</t>
  </si>
  <si>
    <t>10107000900011201606</t>
  </si>
  <si>
    <t>10107000700011201605</t>
  </si>
  <si>
    <t>10107000500011201604</t>
  </si>
  <si>
    <t>10107000100011201602</t>
  </si>
  <si>
    <t>10107000100011201803</t>
  </si>
  <si>
    <t>10107000000011201802</t>
  </si>
  <si>
    <t>10107000900011201607</t>
  </si>
  <si>
    <t>10107000900010898802</t>
  </si>
  <si>
    <t>10107000700010898603</t>
  </si>
  <si>
    <t>10107000900010898604</t>
  </si>
  <si>
    <t>10107000600011202602</t>
  </si>
  <si>
    <t>10107000800011202603</t>
  </si>
  <si>
    <t>10107000100011202605</t>
  </si>
  <si>
    <t>10107000100011084604</t>
  </si>
  <si>
    <t>10107000900011084802</t>
  </si>
  <si>
    <t>10107000000011084611</t>
  </si>
  <si>
    <t>10107000400011084815</t>
  </si>
  <si>
    <t>10107000900011084612</t>
  </si>
  <si>
    <t>10107000100011084613</t>
  </si>
  <si>
    <t>10107000300011084814</t>
  </si>
  <si>
    <t>10107000000011084810</t>
  </si>
  <si>
    <t>10107000600011084817</t>
  </si>
  <si>
    <t>10107000400011198801</t>
  </si>
  <si>
    <t>10107000500011199601</t>
  </si>
  <si>
    <t>10107000500011200801</t>
  </si>
  <si>
    <t>10107000200011200805</t>
  </si>
  <si>
    <t>10107000900011200603</t>
  </si>
  <si>
    <t>10107000900011200804</t>
  </si>
  <si>
    <t>10107000000011200609</t>
  </si>
  <si>
    <t>10107000600011200807</t>
  </si>
  <si>
    <t>10107000400011086603</t>
  </si>
  <si>
    <t>10107000600011086604</t>
  </si>
  <si>
    <t>10107000100011086802</t>
  </si>
  <si>
    <t>10107000100011203800</t>
  </si>
  <si>
    <t>10107000900011203602</t>
  </si>
  <si>
    <t>10107000700011203803</t>
  </si>
  <si>
    <t>10107000500011204602</t>
  </si>
  <si>
    <t>10107000800011204802</t>
  </si>
  <si>
    <t>10107000000011204803</t>
  </si>
  <si>
    <t>10107000900011188603</t>
  </si>
  <si>
    <t>10107000200011188604</t>
  </si>
  <si>
    <t>10107000400011195803</t>
  </si>
  <si>
    <t>10107000700011194603</t>
  </si>
  <si>
    <t>10107000900011194604</t>
  </si>
  <si>
    <t>10107000100011194804</t>
  </si>
  <si>
    <t>10107000500010463602</t>
  </si>
  <si>
    <t>10107000500011184605</t>
  </si>
  <si>
    <t>10107000400011184803</t>
  </si>
  <si>
    <t>10107000900011184608</t>
  </si>
  <si>
    <t>10107000600011184804</t>
  </si>
  <si>
    <t>23504000900010900602</t>
  </si>
  <si>
    <t>10107000000010900602</t>
  </si>
  <si>
    <t>900351951</t>
  </si>
  <si>
    <t>23504000700011089603</t>
  </si>
  <si>
    <t>10107000600011089603</t>
  </si>
  <si>
    <t>WAY4</t>
  </si>
  <si>
    <t>Хонобод БХМ</t>
  </si>
  <si>
    <t>Андижон худудий БХО</t>
  </si>
  <si>
    <t>Ал-Хоразмий БХМ</t>
  </si>
  <si>
    <t xml:space="preserve">Учтепа БХМ </t>
  </si>
  <si>
    <t>24/7 (Б/Ё)</t>
  </si>
  <si>
    <t>Бозор</t>
  </si>
  <si>
    <t>Юнусобод туман Чинобод куча 49 уй</t>
  </si>
  <si>
    <t>Юнусобод БХМ</t>
  </si>
  <si>
    <t>24/7 (БХМ)</t>
  </si>
  <si>
    <t>TEST</t>
  </si>
  <si>
    <t>69.285625</t>
  </si>
  <si>
    <t>41.366267</t>
  </si>
  <si>
    <t>Қорақалпогистон худудий БХО</t>
  </si>
  <si>
    <t>UzCard</t>
  </si>
  <si>
    <t>Коровулбозор БХМ</t>
  </si>
  <si>
    <t>Бухоро худудий БХО</t>
  </si>
  <si>
    <t>Навоий худудий БХО</t>
  </si>
  <si>
    <t>Наманган худудий БХО</t>
  </si>
  <si>
    <t>Сариосиё БХМ</t>
  </si>
  <si>
    <t>Киргули  БХМ</t>
  </si>
  <si>
    <t>Қўқон БХМ</t>
  </si>
  <si>
    <t>Кунгирот БХМ</t>
  </si>
  <si>
    <t>Тахиатош БХМ</t>
  </si>
  <si>
    <t>Хоразм худудий БХО</t>
  </si>
  <si>
    <t>Кашкадарё худудий БХО</t>
  </si>
  <si>
    <t>Сирдарё худудий БХО</t>
  </si>
  <si>
    <t>Тукимачилик БХМ</t>
  </si>
  <si>
    <t>Чирчиқ БХМ</t>
  </si>
  <si>
    <t>Қибрай БХМ</t>
  </si>
  <si>
    <t>Самарқанд минтақавий БХО</t>
  </si>
  <si>
    <t>Ангрен БХМ</t>
  </si>
  <si>
    <t>Олмалик БХМ</t>
  </si>
  <si>
    <t>Сурхандарё худудий БХО</t>
  </si>
  <si>
    <t>Бекобод БХМ</t>
  </si>
  <si>
    <t>Жиззах худудий БХО</t>
  </si>
  <si>
    <t>Миробод БХМ</t>
  </si>
  <si>
    <t>Сергели БХМ</t>
  </si>
  <si>
    <t>Чилонзор БХМ</t>
  </si>
  <si>
    <t>Ракат БХМ</t>
  </si>
  <si>
    <t>Мирзо Улугбек БХМ</t>
  </si>
  <si>
    <t xml:space="preserve">Олмазор БХМ </t>
  </si>
  <si>
    <t>Тошкент шахар худудий БХО</t>
  </si>
  <si>
    <t>Яшнобод БХМ</t>
  </si>
  <si>
    <t xml:space="preserve">Шахристон БХМ </t>
  </si>
  <si>
    <t>Лабзак БХМ</t>
  </si>
  <si>
    <t>Тошкент вилоят худудий БХО</t>
  </si>
  <si>
    <t>Локал</t>
  </si>
  <si>
    <t>БХО / БХМ номи</t>
  </si>
  <si>
    <t>ЖАМИ</t>
  </si>
  <si>
    <t>ЖАМИ БАНКОМАТ СОНИ:</t>
  </si>
  <si>
    <t>71.72567</t>
  </si>
  <si>
    <t>41.19268</t>
  </si>
  <si>
    <t>71.789282</t>
  </si>
  <si>
    <t>40.385098</t>
  </si>
  <si>
    <t>Фарғона ш. Фарғона к. 19 уй</t>
  </si>
  <si>
    <t>71.771487</t>
  </si>
  <si>
    <t>40.439417</t>
  </si>
  <si>
    <t>Марғилон ш. Б.Машраб кўчаси 24/7</t>
  </si>
  <si>
    <t>71.752092</t>
  </si>
  <si>
    <t>Маселко дўкони</t>
  </si>
  <si>
    <t>70.920275</t>
  </si>
  <si>
    <t>40.526647</t>
  </si>
  <si>
    <t>Хонобод ш Фароғат кўчаси 2 уй</t>
  </si>
  <si>
    <t>72.987511</t>
  </si>
  <si>
    <t>40.803249</t>
  </si>
  <si>
    <t>72.331291</t>
  </si>
  <si>
    <t>40.78147</t>
  </si>
  <si>
    <t xml:space="preserve">Андижон ш Чоргузар МФЙ Чоргузар кучаси  </t>
  </si>
  <si>
    <t>72.379158</t>
  </si>
  <si>
    <t>40.769946</t>
  </si>
  <si>
    <t>72.314667</t>
  </si>
  <si>
    <t>Андижон ш Амур темур 24 уй</t>
  </si>
  <si>
    <t>72.348612</t>
  </si>
  <si>
    <t>40.760364</t>
  </si>
  <si>
    <t>72.345338</t>
  </si>
  <si>
    <t>40.783272</t>
  </si>
  <si>
    <t>Урганч шахар П.Махмуд Байналминалчи</t>
  </si>
  <si>
    <t>Урганч шахар Ал Хоразмий куча 50/40</t>
  </si>
  <si>
    <t>Марказий Бозор худудида жойлашган 24/7 шахобча</t>
  </si>
  <si>
    <t>63.450835</t>
  </si>
  <si>
    <t>40.131154</t>
  </si>
  <si>
    <t>70.08131</t>
  </si>
  <si>
    <t>41.01821</t>
  </si>
  <si>
    <t>70.076754</t>
  </si>
  <si>
    <t>41.006025</t>
  </si>
  <si>
    <t>59.604826</t>
  </si>
  <si>
    <t>42.457951</t>
  </si>
  <si>
    <t xml:space="preserve">Нукус шахри А. Шамуратова кўчаси 117-А уй </t>
  </si>
  <si>
    <t>60.908198</t>
  </si>
  <si>
    <t>41.840423</t>
  </si>
  <si>
    <t xml:space="preserve">Нукус шахри Е. Алакоз кўчаси </t>
  </si>
  <si>
    <t>59.634861</t>
  </si>
  <si>
    <t>42.443635</t>
  </si>
  <si>
    <t>А.Навоий кўча 48 уй</t>
  </si>
  <si>
    <t>Утсртгаз (Контор)</t>
  </si>
  <si>
    <t>Жиззах шахар Ш.Рашидов кучаси 7 уй</t>
  </si>
  <si>
    <t>Нурафшон шаҳар Тошкент йули кўчаси 40-уй</t>
  </si>
  <si>
    <t>69.359427</t>
  </si>
  <si>
    <t>41.030126</t>
  </si>
  <si>
    <t>Бекобод шахар Меъмор кўчаси 264 уй</t>
  </si>
  <si>
    <t>Бекобод шахар дехқон бозор худуди</t>
  </si>
  <si>
    <t>Корзинка Супермаркети</t>
  </si>
  <si>
    <t xml:space="preserve">Тошкент в.Қибрай тумани Зебунисо 7  </t>
  </si>
  <si>
    <t>%</t>
  </si>
  <si>
    <t>027A0EJO</t>
  </si>
  <si>
    <t>БХМ биносида</t>
  </si>
  <si>
    <t>Жиззах вилояти</t>
  </si>
  <si>
    <t>Навоий вилояти</t>
  </si>
  <si>
    <t>Самарқанд вилояти</t>
  </si>
  <si>
    <t>Сирдарё вилояти</t>
  </si>
  <si>
    <t>Хоразм вилояти</t>
  </si>
  <si>
    <t>Худуд</t>
  </si>
  <si>
    <t>Автовокзал</t>
  </si>
  <si>
    <t>T</t>
  </si>
  <si>
    <t>Саноатқурилишбанк биноси олдида 24/7</t>
  </si>
  <si>
    <t>Туман Хокимлиги биноси рўпарасида</t>
  </si>
  <si>
    <t xml:space="preserve">Қибрай тум.Салар шах.унверситут кўча 1/1 </t>
  </si>
  <si>
    <t>Салар БХМ</t>
  </si>
  <si>
    <t>Боссув Бекати</t>
  </si>
  <si>
    <t>Навоий шахар Меъморлар кўчаси 7 уй</t>
  </si>
  <si>
    <t>Банк биноси қошида 24/7</t>
  </si>
  <si>
    <t>Навоий шахар Ғалаба шох кучаси 204 уй</t>
  </si>
  <si>
    <t>"Дархон" курилиш материаллари бозори 24/7</t>
  </si>
  <si>
    <t>Навоий шахар И.Каримов кўчаси 7 уй</t>
  </si>
  <si>
    <t>ЦУМ шахар савдо маркази 24/7</t>
  </si>
  <si>
    <t>Бука тумани Банк хизматлар маркази 24/7</t>
  </si>
  <si>
    <t>Олмалик шахар Амур Темур 28-уй</t>
  </si>
  <si>
    <t>Пискент т. Амур Темур кучаси 98-уй 24/7</t>
  </si>
  <si>
    <t>Карши ш. Хонабод шоссе 2 а уй</t>
  </si>
  <si>
    <t>Самарканд шахар Буюк Ипак Йўли кўчаси 13 уй</t>
  </si>
  <si>
    <t>Самарканд шахар Mусахон келди бозори</t>
  </si>
  <si>
    <t>Фотима Қосимова массиви</t>
  </si>
  <si>
    <t xml:space="preserve"> Қорасув массиви</t>
  </si>
  <si>
    <t>фамлий супермаркет</t>
  </si>
  <si>
    <t>Ургут туман Дехконобод МФЙ</t>
  </si>
  <si>
    <t>TASHKENT HOTEL  биносида жойлашган</t>
  </si>
  <si>
    <t xml:space="preserve">Еллик калла тумани Ш.Рашидов кўчаси 2 уй </t>
  </si>
  <si>
    <t>10107000200011081801</t>
  </si>
  <si>
    <t>10107000600011084601</t>
  </si>
  <si>
    <t>Бакнк Олдида</t>
  </si>
  <si>
    <t>Гушт дукон</t>
  </si>
  <si>
    <t>Вокзал бекати</t>
  </si>
  <si>
    <t>66.896269</t>
  </si>
  <si>
    <t>39.687856</t>
  </si>
  <si>
    <t>66.979780</t>
  </si>
  <si>
    <t>39.662319</t>
  </si>
  <si>
    <t>Когон шахар  Бухоро шох кучаси</t>
  </si>
  <si>
    <t xml:space="preserve">Бухоро шахар Навоий шох кўчаси 5 уй </t>
  </si>
  <si>
    <t>Тукимачилик БХМ биноси олдида жойлашган 24/7 шахобча</t>
  </si>
  <si>
    <t>Газли шахар марказидаги мини маркет ичида жойлашган</t>
  </si>
  <si>
    <t>Бухоро шахри M. Анбар кучаси</t>
  </si>
  <si>
    <t>Asia Buxara Hotel</t>
  </si>
  <si>
    <t>64.424470</t>
  </si>
  <si>
    <t>39.763984</t>
  </si>
  <si>
    <t>Хонобод Халқбанк олдида</t>
  </si>
  <si>
    <t>Андижон шахар Бобур шох 36 уй</t>
  </si>
  <si>
    <t xml:space="preserve">Андижон Шахар Dibir Озик овкат </t>
  </si>
  <si>
    <t>Андижон шахар Авто вокзал</t>
  </si>
  <si>
    <t>Андижон ш Ўзбекистон кўчаси 86 уй</t>
  </si>
  <si>
    <t>Plaza Мехмонхонаси</t>
  </si>
  <si>
    <t>Термиз шахар А.Навоий  кучаси 45 а</t>
  </si>
  <si>
    <t xml:space="preserve">Жаркурган ш Бозор  кучаси </t>
  </si>
  <si>
    <t>67.284446</t>
  </si>
  <si>
    <t>37.234713</t>
  </si>
  <si>
    <t>67.420082</t>
  </si>
  <si>
    <t>37.515906</t>
  </si>
  <si>
    <t>Сариосиё туман М Улугбек кучаси</t>
  </si>
  <si>
    <t>Сариосиё туман А Каххор куча 7-уй</t>
  </si>
  <si>
    <t>69.277579</t>
  </si>
  <si>
    <t>900362672</t>
  </si>
  <si>
    <t>900362676</t>
  </si>
  <si>
    <t>41.218655</t>
  </si>
  <si>
    <t>69.223275</t>
  </si>
  <si>
    <t>Терминал HUMO</t>
  </si>
  <si>
    <t>00317</t>
  </si>
  <si>
    <t>Терминал UzCARD</t>
  </si>
  <si>
    <t>Банкомат ЖАМИ</t>
  </si>
  <si>
    <t>инфокиоск Жами</t>
  </si>
  <si>
    <t>DATACARD CE840UzCARD</t>
  </si>
  <si>
    <t>DATACARD CE840 HUMO</t>
  </si>
  <si>
    <t>900364720</t>
  </si>
  <si>
    <t>900364722</t>
  </si>
  <si>
    <t>900364723</t>
  </si>
  <si>
    <t>23504000900011081613</t>
  </si>
  <si>
    <t>10107000000011081613</t>
  </si>
  <si>
    <t>23504000100011081614</t>
  </si>
  <si>
    <t>10107000900011081614</t>
  </si>
  <si>
    <t>23504000200011081615</t>
  </si>
  <si>
    <t>10107000100011081615</t>
  </si>
  <si>
    <t>23504000600010463630</t>
  </si>
  <si>
    <t>10107000500010463630</t>
  </si>
  <si>
    <t>23504000500010463650</t>
  </si>
  <si>
    <t>10107000400010463650</t>
  </si>
  <si>
    <t>00075000110810A</t>
  </si>
  <si>
    <t>027A1GCO</t>
  </si>
  <si>
    <t>23504000700011081813</t>
  </si>
  <si>
    <t>10107000600011081813</t>
  </si>
  <si>
    <t>40.112964</t>
  </si>
  <si>
    <t>65.357957</t>
  </si>
  <si>
    <t>40.112617</t>
  </si>
  <si>
    <t>65.376497</t>
  </si>
  <si>
    <t>40.100793</t>
  </si>
  <si>
    <t>65.374877</t>
  </si>
  <si>
    <t>Фаргона ш. Қомус кўча 42 уй</t>
  </si>
  <si>
    <t>Марғилон ш. Б.Марғилоний 107</t>
  </si>
  <si>
    <t>39.659155</t>
  </si>
  <si>
    <t>66.923201</t>
  </si>
  <si>
    <t>39.690622</t>
  </si>
  <si>
    <t>66.885903</t>
  </si>
  <si>
    <t>39.462730</t>
  </si>
  <si>
    <t>67.030218</t>
  </si>
  <si>
    <t>39.683902</t>
  </si>
  <si>
    <t>66.929326</t>
  </si>
  <si>
    <t>39.715672</t>
  </si>
  <si>
    <t>66.933129</t>
  </si>
  <si>
    <t>Ургут туман Бахрин МФЙ</t>
  </si>
  <si>
    <t>Зам-Зам чойхона</t>
  </si>
  <si>
    <t>43.049262</t>
  </si>
  <si>
    <t>58.834129</t>
  </si>
  <si>
    <t>Тахиатош туман Дехкон базор худуди</t>
  </si>
  <si>
    <t>Хужайли БХМ биносида 24/7</t>
  </si>
  <si>
    <t xml:space="preserve">Сергели тумани Шокирариқ кўчаси 3 уй </t>
  </si>
  <si>
    <t>Учтепа тумани Чилонзор 30 мавзе 16а уй</t>
  </si>
  <si>
    <t>Яккасарой тумани Шохижахон кўчаси 2а уй</t>
  </si>
  <si>
    <t>Абу Сахий бозор худудида</t>
  </si>
  <si>
    <t>Чилонзор тумани Бунёдкор кўчасиси 156 уй</t>
  </si>
  <si>
    <t>Банк Биноси</t>
  </si>
  <si>
    <t>Пискент т. Амур Темур кучаси 101А-уй 24/7</t>
  </si>
  <si>
    <t>40.212152</t>
  </si>
  <si>
    <t>69.255207</t>
  </si>
  <si>
    <t>40.213149</t>
  </si>
  <si>
    <t>69.265675</t>
  </si>
  <si>
    <t>40.212535</t>
  </si>
  <si>
    <t>69.265761</t>
  </si>
  <si>
    <t>GRG P5800</t>
  </si>
  <si>
    <t>595199</t>
  </si>
  <si>
    <t>10107000700011640805</t>
  </si>
  <si>
    <t>23504000800011640805</t>
  </si>
  <si>
    <t>23504000200011640802</t>
  </si>
  <si>
    <t>10107000100011640802</t>
  </si>
  <si>
    <t>50-100 $</t>
  </si>
  <si>
    <t>Когон БХМ биносида жойлашган 24/7</t>
  </si>
  <si>
    <t>39.725743</t>
  </si>
  <si>
    <t>64.545079</t>
  </si>
  <si>
    <t>900365915</t>
  </si>
  <si>
    <t>900365921</t>
  </si>
  <si>
    <t>900365925</t>
  </si>
  <si>
    <t>900366429</t>
  </si>
  <si>
    <t>23504000800011184633</t>
  </si>
  <si>
    <t>10107000700011184633</t>
  </si>
  <si>
    <t>900366397</t>
  </si>
  <si>
    <t>23504000400011184637</t>
  </si>
  <si>
    <t>10107000300011184637</t>
  </si>
  <si>
    <t>900366347</t>
  </si>
  <si>
    <t>23504000000011184631</t>
  </si>
  <si>
    <t>10107000900011184631</t>
  </si>
  <si>
    <t>900366393</t>
  </si>
  <si>
    <t>23504000900011184630</t>
  </si>
  <si>
    <t>10107000000011184630</t>
  </si>
  <si>
    <t>900366389</t>
  </si>
  <si>
    <t>23504000600011184629</t>
  </si>
  <si>
    <t>10107000500011184629</t>
  </si>
  <si>
    <t>900366454</t>
  </si>
  <si>
    <t>23504000600011184620</t>
  </si>
  <si>
    <t>10107000500011184620</t>
  </si>
  <si>
    <t>900366484</t>
  </si>
  <si>
    <t>900366482</t>
  </si>
  <si>
    <t>900366507</t>
  </si>
  <si>
    <t>900366486</t>
  </si>
  <si>
    <t>23504000900011089615</t>
  </si>
  <si>
    <t>10107000000011089615</t>
  </si>
  <si>
    <t>23504000000010852620</t>
  </si>
  <si>
    <t>10107000900010852620</t>
  </si>
  <si>
    <t>23504000500010852610</t>
  </si>
  <si>
    <t>10107000400010852610</t>
  </si>
  <si>
    <t>23504000800010852613</t>
  </si>
  <si>
    <t>10107000700010852613</t>
  </si>
  <si>
    <t>23504000900010852616</t>
  </si>
  <si>
    <t>10107000000010852616</t>
  </si>
  <si>
    <t>000860001085215</t>
  </si>
  <si>
    <t>027A1GV5</t>
  </si>
  <si>
    <t>23504000000010852810</t>
  </si>
  <si>
    <t>10107000900010852810</t>
  </si>
  <si>
    <t>005240001108909</t>
  </si>
  <si>
    <t>027A1H2C</t>
  </si>
  <si>
    <t>23504000100011089809</t>
  </si>
  <si>
    <t>10107000900011089809</t>
  </si>
  <si>
    <t>00524000110890A</t>
  </si>
  <si>
    <t>027A1H2E</t>
  </si>
  <si>
    <t>23504000900011089811</t>
  </si>
  <si>
    <t>10107000800011089811</t>
  </si>
  <si>
    <t>904350000043531</t>
  </si>
  <si>
    <t>AC043512</t>
  </si>
  <si>
    <t>23504000200011195807</t>
  </si>
  <si>
    <t>10107000100011195807</t>
  </si>
  <si>
    <t>23504000600011195613</t>
  </si>
  <si>
    <t>10107000500011195613</t>
  </si>
  <si>
    <t>23504000900011195616</t>
  </si>
  <si>
    <t>10107000800011195616</t>
  </si>
  <si>
    <t>23504000000011195617</t>
  </si>
  <si>
    <t>10107000900011195617</t>
  </si>
  <si>
    <t>900366528</t>
  </si>
  <si>
    <t>23504000000011194646</t>
  </si>
  <si>
    <t>10107000900011194646</t>
  </si>
  <si>
    <t>900366390</t>
  </si>
  <si>
    <t>23504000900011194640</t>
  </si>
  <si>
    <t>10107000000011194640</t>
  </si>
  <si>
    <t>AC042413</t>
  </si>
  <si>
    <t>23504000500011184826</t>
  </si>
  <si>
    <t>10107000400011184826</t>
  </si>
  <si>
    <t>23504000500011184824</t>
  </si>
  <si>
    <t>10107000400011184824</t>
  </si>
  <si>
    <t>00435000111950F</t>
  </si>
  <si>
    <t>027A1H4H</t>
  </si>
  <si>
    <t>23504000900011195817</t>
  </si>
  <si>
    <t>10107000800011195817</t>
  </si>
  <si>
    <t>004340001119407</t>
  </si>
  <si>
    <t>027A1H7S</t>
  </si>
  <si>
    <t>23504000900011194850</t>
  </si>
  <si>
    <t>10107000800011194850</t>
  </si>
  <si>
    <t>900366834</t>
  </si>
  <si>
    <t>23504000700010852609</t>
  </si>
  <si>
    <t>10107000600010852609</t>
  </si>
  <si>
    <t>AC042404</t>
  </si>
  <si>
    <t>W04240000042410</t>
  </si>
  <si>
    <t>23504000000011640806</t>
  </si>
  <si>
    <t>10107000900011640806</t>
  </si>
  <si>
    <t xml:space="preserve">Шайхонтохур т. И. Каримов кўча 5 уй </t>
  </si>
  <si>
    <t>Toshkent City</t>
  </si>
  <si>
    <t>Амир Темур БХМ</t>
  </si>
  <si>
    <t>Хонобод Мажмуа олдида</t>
  </si>
  <si>
    <t>Андижон National мехмонхонаси</t>
  </si>
  <si>
    <t>Янги бозор олдида</t>
  </si>
  <si>
    <t>39.779836</t>
  </si>
  <si>
    <t>64.400478</t>
  </si>
  <si>
    <t>41.00586</t>
  </si>
  <si>
    <t>71.63588</t>
  </si>
  <si>
    <t>Сариосиё туман Дехкон бозор худуди</t>
  </si>
  <si>
    <t>Комбинат буюм бозори олди</t>
  </si>
  <si>
    <t>Банк хизматлари маркази</t>
  </si>
  <si>
    <t>А.Досназаров кучаси 71A</t>
  </si>
  <si>
    <t>41.388163</t>
  </si>
  <si>
    <t>69.459452</t>
  </si>
  <si>
    <t>41.380817</t>
  </si>
  <si>
    <t>69.352573</t>
  </si>
  <si>
    <t>Банк биноси (Билайн ком ёнида)</t>
  </si>
  <si>
    <t xml:space="preserve">Банк Марказлар хизмати биноси </t>
  </si>
  <si>
    <t>ИЭМ биноси ичида</t>
  </si>
  <si>
    <t>72.971165</t>
  </si>
  <si>
    <t>72.352106</t>
  </si>
  <si>
    <t>Андижон Шахар 2-тугрук комплекси</t>
  </si>
  <si>
    <t>M.B</t>
  </si>
  <si>
    <t>Кунгирот т.  (Банк биноси кошида 24/7)</t>
  </si>
  <si>
    <t>42.4115040</t>
  </si>
  <si>
    <t>59.4532460</t>
  </si>
  <si>
    <t>24/7 (эски банк биноси кошида)</t>
  </si>
  <si>
    <t>Бустон БХМ биноси кошида 24/7</t>
  </si>
  <si>
    <t>Нукус корзинка биносида</t>
  </si>
  <si>
    <t>40.808556</t>
  </si>
  <si>
    <t>40.778271</t>
  </si>
  <si>
    <t>40.812403</t>
  </si>
  <si>
    <t>40.474084</t>
  </si>
  <si>
    <t>38.4126630</t>
  </si>
  <si>
    <t>Саноаткурилишбанк Сариосиё филиали биносида</t>
  </si>
  <si>
    <t>10785</t>
  </si>
  <si>
    <t>10740</t>
  </si>
  <si>
    <t>10741</t>
  </si>
  <si>
    <t>004400001075602</t>
  </si>
  <si>
    <t>027A1J2A</t>
  </si>
  <si>
    <t>10756</t>
  </si>
  <si>
    <t>23504000400010756800</t>
  </si>
  <si>
    <t>10107000300010756800</t>
  </si>
  <si>
    <t>Фурқат МФЙ, И.Каримов кўчаси ,19-уй</t>
  </si>
  <si>
    <t>Бўстонлиқ туман Ғазалкент МФЙ Амирсой кўчаси 56-уй</t>
  </si>
  <si>
    <t>Фарход бозори қаршисида</t>
  </si>
  <si>
    <t>41.284169</t>
  </si>
  <si>
    <t>69.188615</t>
  </si>
  <si>
    <t>Истиклол кучаси 25уй</t>
  </si>
  <si>
    <t>банк биноси</t>
  </si>
  <si>
    <t>41.312351</t>
  </si>
  <si>
    <t>69.281063</t>
  </si>
  <si>
    <t>Чилонзор тумани Бунёдкор куча 47 уй</t>
  </si>
  <si>
    <t>41.253086</t>
  </si>
  <si>
    <t>69.189873</t>
  </si>
  <si>
    <t>41.353132</t>
  </si>
  <si>
    <t>69.296208</t>
  </si>
  <si>
    <t>Сергели т Обихаёт кўчаси Сергели-3 22 уй олдида</t>
  </si>
  <si>
    <t>Файз мебель олдида жойлашган</t>
  </si>
  <si>
    <t xml:space="preserve"> Тошкент шахар Миробод тумани, Туркистон кўчаси, 10-уй</t>
  </si>
  <si>
    <t>Миробод бхм банк биноси</t>
  </si>
  <si>
    <t>Мирзо Улугбек тум мустакиллик шох кучаси 5 уй</t>
  </si>
  <si>
    <t>69.282378</t>
  </si>
  <si>
    <t>41.312641</t>
  </si>
  <si>
    <t>Чилонзор тумани Олмазор кучаси 169 А</t>
  </si>
  <si>
    <t xml:space="preserve">Мирзо Улугбек тумани Мирзо Улугбек кучаси 93 уй </t>
  </si>
  <si>
    <t>Чилонзор р Чиланзар 6-квартал 30-дом</t>
  </si>
  <si>
    <t>Яккасарой тумани Шохжахон 4 уй</t>
  </si>
  <si>
    <t>Текистил иниститут 24/7</t>
  </si>
  <si>
    <t>Чилонзор тумани Ц мавзе мехр кўчаси</t>
  </si>
  <si>
    <t>Жомий чоррахаси ёнида</t>
  </si>
  <si>
    <t>41.353020</t>
  </si>
  <si>
    <t>69.252488</t>
  </si>
  <si>
    <t>Тошкент шахар Яшнобод тумани Махтумқули кўчаси 69 уй</t>
  </si>
  <si>
    <t>Алгоритм Мухлиса бекати</t>
  </si>
  <si>
    <t>Учтепа тумани Урикзор савдо комплекси</t>
  </si>
  <si>
    <t>Урикзор савдо комплекси 24/7 йўл бўйида</t>
  </si>
  <si>
    <t>Текстил академик лицей каршиси</t>
  </si>
  <si>
    <t>41.285702</t>
  </si>
  <si>
    <t>69.248796</t>
  </si>
  <si>
    <t>Янгиер ш Элмакон магазини</t>
  </si>
  <si>
    <t>40.2737837</t>
  </si>
  <si>
    <t>68.8282347</t>
  </si>
  <si>
    <t>Ески Шахристон БХМ ичида</t>
  </si>
  <si>
    <t>904240000042470</t>
  </si>
  <si>
    <t xml:space="preserve">Андижон вилояти, Хонобод шахар, Истиқлол МФЙ Фароғат кўчаси 2-уй </t>
  </si>
  <si>
    <t xml:space="preserve">Андижон вилояти, Хонобод шахар, Хонобод МФЙ Хонобод кўчаси </t>
  </si>
  <si>
    <t>Андижон вилояти, Андижон шахар Тошкент кўчаси 42 уй</t>
  </si>
  <si>
    <t>Андижон вилоят Перинатал маркази олдида</t>
  </si>
  <si>
    <t xml:space="preserve">Бухоро вилояти, Бухоро шахар Навоий шох кўчаси 5 уй </t>
  </si>
  <si>
    <t>Тукимачилик БХМ олдида</t>
  </si>
  <si>
    <t>Бухоро вилояти, Бухоро шахри Тараккиёт кучаси 1 уй</t>
  </si>
  <si>
    <t>Тараккиёт БХМ</t>
  </si>
  <si>
    <t>Когон БХМ</t>
  </si>
  <si>
    <t>Фарғона вилояти, Қўқон шахар Мовороуннахр 94-уй
 94-уй</t>
  </si>
  <si>
    <t>Фарғона вилояти,  Қўқон шахар А.Темур кўчаси 1а-уй
 1а-уй</t>
  </si>
  <si>
    <t>Урганч шахар стадион</t>
  </si>
  <si>
    <t>Миллийбанк рупараси</t>
  </si>
  <si>
    <t>38.8302720</t>
  </si>
  <si>
    <t>65.7931080</t>
  </si>
  <si>
    <t>40.811713</t>
  </si>
  <si>
    <t xml:space="preserve"> 69.205577</t>
  </si>
  <si>
    <t>40.850452</t>
  </si>
  <si>
    <t>69.599105</t>
  </si>
  <si>
    <t>40.815229</t>
  </si>
  <si>
    <t>69.201906</t>
  </si>
  <si>
    <t>40.130283</t>
  </si>
  <si>
    <t>67.825225</t>
  </si>
  <si>
    <t>41.312309</t>
  </si>
  <si>
    <t>69.245667</t>
  </si>
  <si>
    <t>покупка</t>
  </si>
  <si>
    <t>продажа</t>
  </si>
  <si>
    <t>Фарғона вилояти, Қўқон шахар А.Темур кўчаси 1а-уй
 1а-уй</t>
  </si>
  <si>
    <t>УРБ (Контор)</t>
  </si>
  <si>
    <t>Қорақолпоғистон республикаси, Қўнғирот тумани Т.Айбергенов 48 уй</t>
  </si>
  <si>
    <t>24/7 (Хужайли т Дехкон базор)</t>
  </si>
  <si>
    <t>Қорақолпоғистон республикаси, Хужайли тумани, Ғарезсизлик кўчаси (Бозор)</t>
  </si>
  <si>
    <t>42.4168379</t>
  </si>
  <si>
    <t>59.4439089</t>
  </si>
  <si>
    <t>Қорақолпоғистон республикаси, Хужайли тумани Ғарезсизлик кўчаси, 29 (БХМ)</t>
  </si>
  <si>
    <t>Қорақолпоғистон республикаси, Тахиатош тумани М. Жумабаев р.у</t>
  </si>
  <si>
    <t>41.5656466</t>
  </si>
  <si>
    <t>60.6078396</t>
  </si>
  <si>
    <t>39.260139</t>
  </si>
  <si>
    <t>65.166091</t>
  </si>
  <si>
    <t>39.183162</t>
  </si>
  <si>
    <t>65.289318</t>
  </si>
  <si>
    <t>41.385417</t>
  </si>
  <si>
    <t>69.462928</t>
  </si>
  <si>
    <t>32564</t>
  </si>
  <si>
    <t>Самарканд вилояти, Сиёб дехкон бозори</t>
  </si>
  <si>
    <t>40.900612</t>
  </si>
  <si>
    <t>69.351976</t>
  </si>
  <si>
    <t>Тошкет вилояти, Бўка тумани, Ўзбекистон кўчаси</t>
  </si>
  <si>
    <t>Метан газ заправка</t>
  </si>
  <si>
    <t>40.757742</t>
  </si>
  <si>
    <t>72.353561</t>
  </si>
  <si>
    <t>40.750372</t>
  </si>
  <si>
    <t>72.370572</t>
  </si>
  <si>
    <t>41.5513590</t>
  </si>
  <si>
    <t>60.6302100</t>
  </si>
  <si>
    <t>40.859252</t>
  </si>
  <si>
    <t>69.534491</t>
  </si>
  <si>
    <t>40.900034</t>
  </si>
  <si>
    <t>69.351733</t>
  </si>
  <si>
    <t>904240000042491</t>
  </si>
  <si>
    <t>AC042422</t>
  </si>
  <si>
    <t>Тошкент шахар, Ислом Каримов, 51 уй</t>
  </si>
  <si>
    <t>Корпоратив мижоз</t>
  </si>
  <si>
    <t>41.310313</t>
  </si>
  <si>
    <t>69.248162</t>
  </si>
  <si>
    <t>Урганч шахар И.Каримов 128</t>
  </si>
  <si>
    <t>Бухоро вилояти, Бухоро шахар Ибн Сино кўчаси 1 уй</t>
  </si>
  <si>
    <t>39.773760</t>
  </si>
  <si>
    <t>64.418975</t>
  </si>
  <si>
    <t>Саноат энергетика ташкилот ичида</t>
  </si>
  <si>
    <t>Олмазор тумани  Шимолий Олмазор куча 10 уй</t>
  </si>
  <si>
    <t>41.266413</t>
  </si>
  <si>
    <t>69.157398</t>
  </si>
  <si>
    <t>41.286707</t>
  </si>
  <si>
    <t>69.149761</t>
  </si>
  <si>
    <t>69.168323</t>
  </si>
  <si>
    <t xml:space="preserve">41.243203 </t>
  </si>
  <si>
    <t>41.245353</t>
  </si>
  <si>
    <t>69.166429</t>
  </si>
  <si>
    <t>Янгикургон Саноатқурилишбанк Банк хизматлари маркази</t>
  </si>
  <si>
    <t>41.214779</t>
  </si>
  <si>
    <t>69.232648</t>
  </si>
  <si>
    <t>Чилонзор БХМ(Катортол БХМ)</t>
  </si>
  <si>
    <t>41.279499</t>
  </si>
  <si>
    <t>69.206132</t>
  </si>
  <si>
    <t>41.284280</t>
  </si>
  <si>
    <t>69.246183</t>
  </si>
  <si>
    <t>41.288291</t>
  </si>
  <si>
    <t>69.208043</t>
  </si>
  <si>
    <t>40.495597</t>
  </si>
  <si>
    <t>68.778259</t>
  </si>
  <si>
    <t>40.477322</t>
  </si>
  <si>
    <t>68.781989</t>
  </si>
  <si>
    <t>Гулистон ш., Каттакургон кучаси, 57</t>
  </si>
  <si>
    <t>Гулистон дехкон бозор</t>
  </si>
  <si>
    <t>Эски Банк биноси олди тарафида</t>
  </si>
  <si>
    <t>41.293798</t>
  </si>
  <si>
    <t>69.211819</t>
  </si>
  <si>
    <t>41.278711</t>
  </si>
  <si>
    <t>69.281543</t>
  </si>
  <si>
    <t>41.303499</t>
  </si>
  <si>
    <t>69.248085</t>
  </si>
  <si>
    <t>41.346428</t>
  </si>
  <si>
    <t>69.346785</t>
  </si>
  <si>
    <t>39.453460</t>
  </si>
  <si>
    <t>67.090046</t>
  </si>
  <si>
    <t>Ўғилой она савдо хизматлари</t>
  </si>
  <si>
    <t>41.305620</t>
  </si>
  <si>
    <t>69.307516</t>
  </si>
  <si>
    <t>Банк биноси 24/7 шахобчаси(возле флага)</t>
  </si>
  <si>
    <t>41.346431</t>
  </si>
  <si>
    <t>69.346784</t>
  </si>
  <si>
    <t>Тошкент шахар Мирзо-Улугбек тумани Мирзо-Улугбек кўчаси 93 уй</t>
  </si>
  <si>
    <t>Хумоюн БХМ БХМ 24/7 шахочаси</t>
  </si>
  <si>
    <t>41.293051</t>
  </si>
  <si>
    <t>69.286529</t>
  </si>
  <si>
    <t>Банк биноси олдида("НУРБЕК" ресторани)</t>
  </si>
  <si>
    <t>Нукус шахри Ўзбекистон кўчаси, 39</t>
  </si>
  <si>
    <t>42.457721</t>
  </si>
  <si>
    <t>59.609035</t>
  </si>
  <si>
    <t>42.464823</t>
  </si>
  <si>
    <t>59.603226</t>
  </si>
  <si>
    <t>Бустон БХМ</t>
  </si>
  <si>
    <t>42.333011</t>
  </si>
  <si>
    <t>59.580406</t>
  </si>
  <si>
    <t>38.403142</t>
  </si>
  <si>
    <t>67.963949</t>
  </si>
  <si>
    <t>38.466982</t>
  </si>
  <si>
    <t>67.963450</t>
  </si>
  <si>
    <t>67.956431</t>
  </si>
  <si>
    <t>41.486666</t>
  </si>
  <si>
    <t>69.940655</t>
  </si>
  <si>
    <t>41.447076</t>
  </si>
  <si>
    <t>69.560678</t>
  </si>
  <si>
    <t>41.489175</t>
  </si>
  <si>
    <t>69.943334</t>
  </si>
  <si>
    <t>41.453656</t>
  </si>
  <si>
    <t>69.566843</t>
  </si>
  <si>
    <t>41.360878</t>
  </si>
  <si>
    <t>37.236705</t>
  </si>
  <si>
    <t>67.290218</t>
  </si>
  <si>
    <t>40.477249</t>
  </si>
  <si>
    <t>71.724930</t>
  </si>
  <si>
    <t>40.526439</t>
  </si>
  <si>
    <t>70.939208</t>
  </si>
  <si>
    <t>41.554574</t>
  </si>
  <si>
    <t>60.631778</t>
  </si>
  <si>
    <t>40.212204</t>
  </si>
  <si>
    <t>69.265219</t>
  </si>
  <si>
    <t>41.356196</t>
  </si>
  <si>
    <t>69.334538</t>
  </si>
  <si>
    <t>Группа</t>
  </si>
  <si>
    <t>Киоск</t>
  </si>
  <si>
    <t>МФО ф-л</t>
  </si>
  <si>
    <t>Названия филиала</t>
  </si>
  <si>
    <t>Модел киоска</t>
  </si>
  <si>
    <t>Регион</t>
  </si>
  <si>
    <t>Серийный номер</t>
  </si>
  <si>
    <t>Киоска ID</t>
  </si>
  <si>
    <t>MerchantID</t>
  </si>
  <si>
    <t>Terminal ID</t>
  </si>
  <si>
    <t>Адрес установки</t>
  </si>
  <si>
    <t>Ориентир</t>
  </si>
  <si>
    <t xml:space="preserve"> Хонобод БХМ</t>
  </si>
  <si>
    <t>Touchplat</t>
  </si>
  <si>
    <t>0008265</t>
  </si>
  <si>
    <t>10051001</t>
  </si>
  <si>
    <t>900346213</t>
  </si>
  <si>
    <t>95000968</t>
  </si>
  <si>
    <t>40.802868</t>
  </si>
  <si>
    <t>72.987355</t>
  </si>
  <si>
    <t>0008270</t>
  </si>
  <si>
    <t>10051002</t>
  </si>
  <si>
    <t>95000967</t>
  </si>
  <si>
    <t>Фарогат кўча 2 уй</t>
  </si>
  <si>
    <t>OPTIMAL</t>
  </si>
  <si>
    <t>2016509</t>
  </si>
  <si>
    <t>10075001</t>
  </si>
  <si>
    <t>Андижон шахар, Юсуф Отабеков кўчаси, 74</t>
  </si>
  <si>
    <t>Шахар шифохонаси</t>
  </si>
  <si>
    <t>2016510</t>
  </si>
  <si>
    <t>10075002</t>
  </si>
  <si>
    <t xml:space="preserve">Андижон вилояти, Андижон шахар Бустон МФЙ Усмон Юсупов кучаси  </t>
  </si>
  <si>
    <t>0008302</t>
  </si>
  <si>
    <t>10075003</t>
  </si>
  <si>
    <t>Андижон ш. Бобуршох кўча 36 уй</t>
  </si>
  <si>
    <t xml:space="preserve"> Бунёдкор БХО</t>
  </si>
  <si>
    <t>2016507</t>
  </si>
  <si>
    <t>10076001</t>
  </si>
  <si>
    <t>900346216</t>
  </si>
  <si>
    <t>95001052</t>
  </si>
  <si>
    <t>Андижон вилояти, Андижон шахар Ўзбекистон кўчаси 280А уй</t>
  </si>
  <si>
    <t>Бархаёт БХМ 24/7</t>
  </si>
  <si>
    <t>40.783684</t>
  </si>
  <si>
    <t>72.345349</t>
  </si>
  <si>
    <t>2016508</t>
  </si>
  <si>
    <t>10076002</t>
  </si>
  <si>
    <t>95001051</t>
  </si>
  <si>
    <t>Андижон вилояти, Андижон шахар Буюк турон</t>
  </si>
  <si>
    <t>0008366</t>
  </si>
  <si>
    <t>10076003</t>
  </si>
  <si>
    <t>95000976</t>
  </si>
  <si>
    <t>Андижон вилояти, Андижон шахар Амур темур 24 уй</t>
  </si>
  <si>
    <t>Бунёдкор БХМ биноси 24/7</t>
  </si>
  <si>
    <t>40.760647</t>
  </si>
  <si>
    <t>72.348285</t>
  </si>
  <si>
    <t>0008304</t>
  </si>
  <si>
    <t>10076004</t>
  </si>
  <si>
    <t>95000975</t>
  </si>
  <si>
    <t>0008300</t>
  </si>
  <si>
    <t>10076005</t>
  </si>
  <si>
    <t>95000974</t>
  </si>
  <si>
    <t>Андижон вилояти, Андижон шахар, А.Юлдашева кўчаси</t>
  </si>
  <si>
    <t>Visus клиникаси</t>
  </si>
  <si>
    <t>40.744138</t>
  </si>
  <si>
    <t>72.317809</t>
  </si>
  <si>
    <t xml:space="preserve"> Коровулбозор БХМ</t>
  </si>
  <si>
    <t>0008295</t>
  </si>
  <si>
    <t>10085001</t>
  </si>
  <si>
    <t>900346218</t>
  </si>
  <si>
    <t>95000977</t>
  </si>
  <si>
    <t>Бухоро вилояти,  Коровул Бозор туман Геологлар кучаси</t>
  </si>
  <si>
    <t>Коровулбозор Банк биноси</t>
  </si>
  <si>
    <t>39.498571</t>
  </si>
  <si>
    <t>64.790155</t>
  </si>
  <si>
    <t>0008389</t>
  </si>
  <si>
    <t>10086004</t>
  </si>
  <si>
    <t>Когон шахар, Бухоро шох кўча 34 уй</t>
  </si>
  <si>
    <t>39.725665</t>
  </si>
  <si>
    <t>64.545167</t>
  </si>
  <si>
    <t>0008319</t>
  </si>
  <si>
    <t>10085003</t>
  </si>
  <si>
    <t>95000979</t>
  </si>
  <si>
    <t>Геологлар кўча 32 уй</t>
  </si>
  <si>
    <t>0008283</t>
  </si>
  <si>
    <t>10086001</t>
  </si>
  <si>
    <t>город Бухара, улица Афросиаб</t>
  </si>
  <si>
    <t>ARK chicken кафе</t>
  </si>
  <si>
    <t>39.779361</t>
  </si>
  <si>
    <t>64.410186</t>
  </si>
  <si>
    <t xml:space="preserve"> Муборак БХМ</t>
  </si>
  <si>
    <t>0008284</t>
  </si>
  <si>
    <t>10186001</t>
  </si>
  <si>
    <t>900346229</t>
  </si>
  <si>
    <t>95000983</t>
  </si>
  <si>
    <t>Занжирсарой кўча 22 уй</t>
  </si>
  <si>
    <t>Банк биноси(омборда)</t>
  </si>
  <si>
    <t>0008377</t>
  </si>
  <si>
    <t>10186002</t>
  </si>
  <si>
    <t>95000982</t>
  </si>
  <si>
    <t xml:space="preserve">Қашқадарё вилояти, Муборак тумани промзонаси  ИЭМ биноси </t>
  </si>
  <si>
    <t>0008391</t>
  </si>
  <si>
    <t>10186003</t>
  </si>
  <si>
    <t>95000981</t>
  </si>
  <si>
    <t>0008315</t>
  </si>
  <si>
    <t>10186004</t>
  </si>
  <si>
    <t>95000980</t>
  </si>
  <si>
    <t xml:space="preserve"> Навоий БХО</t>
  </si>
  <si>
    <t>0008285</t>
  </si>
  <si>
    <t>10207001</t>
  </si>
  <si>
    <t>900318874</t>
  </si>
  <si>
    <t>95000102</t>
  </si>
  <si>
    <t>Навоий ш. Меъморлар кўча 7 уй</t>
  </si>
  <si>
    <t>0008382</t>
  </si>
  <si>
    <t>10207002</t>
  </si>
  <si>
    <t>95001046</t>
  </si>
  <si>
    <t>Навоий ш. Меъморлар кўча 17а уй</t>
  </si>
  <si>
    <t>40.115806</t>
  </si>
  <si>
    <t>65.363726</t>
  </si>
  <si>
    <t>0008374</t>
  </si>
  <si>
    <t>10207003</t>
  </si>
  <si>
    <t>95000111</t>
  </si>
  <si>
    <t>Навоий ш. И.Каримов кўча 7 уй</t>
  </si>
  <si>
    <t>0008298</t>
  </si>
  <si>
    <t>10207004</t>
  </si>
  <si>
    <t>95000110</t>
  </si>
  <si>
    <t xml:space="preserve"> Наманган БХО</t>
  </si>
  <si>
    <t>0008262</t>
  </si>
  <si>
    <t>10224001</t>
  </si>
  <si>
    <t>900346235</t>
  </si>
  <si>
    <t>95000988</t>
  </si>
  <si>
    <t>Наманган вилояти, Фурқат МФЙ, И.Каримов кўчаси ,19-уй</t>
  </si>
  <si>
    <t>0008264</t>
  </si>
  <si>
    <t>10224002</t>
  </si>
  <si>
    <t>95000987</t>
  </si>
  <si>
    <t>улица Саноат, 37</t>
  </si>
  <si>
    <t>Шахар электр тармоқ</t>
  </si>
  <si>
    <t>41.010836</t>
  </si>
  <si>
    <t>71.645056</t>
  </si>
  <si>
    <t>0008376</t>
  </si>
  <si>
    <t>10224003</t>
  </si>
  <si>
    <t>95000986</t>
  </si>
  <si>
    <t>Б.Машраб кўча, вилоят хокимлиги ичида</t>
  </si>
  <si>
    <t>Вилоят хокимлиги ичида</t>
  </si>
  <si>
    <t>41.000712</t>
  </si>
  <si>
    <t>71.673359</t>
  </si>
  <si>
    <t>0008362</t>
  </si>
  <si>
    <t>10224004</t>
  </si>
  <si>
    <t>95000985</t>
  </si>
  <si>
    <t xml:space="preserve"> Котира кўча, 9в уй</t>
  </si>
  <si>
    <t>Электр тармоқ</t>
  </si>
  <si>
    <t>41.000537</t>
  </si>
  <si>
    <t>71.614044</t>
  </si>
  <si>
    <t xml:space="preserve"> Самарканд БХО</t>
  </si>
  <si>
    <t>0008282</t>
  </si>
  <si>
    <t>10317001</t>
  </si>
  <si>
    <t>900346367</t>
  </si>
  <si>
    <t>95001027</t>
  </si>
  <si>
    <t>Туркистон кўча 162 уй</t>
  </si>
  <si>
    <t>39.647250</t>
  </si>
  <si>
    <t>66.934231</t>
  </si>
  <si>
    <t xml:space="preserve"> Сариосиё БХМ</t>
  </si>
  <si>
    <t>0008365</t>
  </si>
  <si>
    <t>10354001</t>
  </si>
  <si>
    <t>900346355</t>
  </si>
  <si>
    <t>95001017</t>
  </si>
  <si>
    <t>Сурхандарё вилояти, Сариосиё туман А Каххор куча 7-уй</t>
  </si>
  <si>
    <t>38.403139</t>
  </si>
  <si>
    <t>67.963948</t>
  </si>
  <si>
    <t>0008307</t>
  </si>
  <si>
    <t>10354002</t>
  </si>
  <si>
    <t>95001016</t>
  </si>
  <si>
    <t>Сурхандарё вилояти, Сариосиё туман Шаргун Шахтиёрлар куча 29</t>
  </si>
  <si>
    <t>Шаргун БХМ</t>
  </si>
  <si>
    <t>0008254</t>
  </si>
  <si>
    <t>10354003</t>
  </si>
  <si>
    <t>95001015</t>
  </si>
  <si>
    <t>0008395</t>
  </si>
  <si>
    <t>10403001</t>
  </si>
  <si>
    <t>900346266</t>
  </si>
  <si>
    <t>95000998</t>
  </si>
  <si>
    <t>Сергели туман Шокирариқ кўча 3 уй</t>
  </si>
  <si>
    <t>2016423</t>
  </si>
  <si>
    <t>10428001</t>
  </si>
  <si>
    <t>Yunusobod Tumani A.Temur kuchasi</t>
  </si>
  <si>
    <t>Avtosalon Xumo</t>
  </si>
  <si>
    <t>0008311</t>
  </si>
  <si>
    <t>10428002</t>
  </si>
  <si>
    <t>900335859</t>
  </si>
  <si>
    <t>95000964</t>
  </si>
  <si>
    <t>Юнусобод туман Учкахрамон кўча 7 уй</t>
  </si>
  <si>
    <t>41.376463</t>
  </si>
  <si>
    <t>69.281053</t>
  </si>
  <si>
    <t>0008268</t>
  </si>
  <si>
    <t>10428004</t>
  </si>
  <si>
    <t>95001421</t>
  </si>
  <si>
    <t>Тошкент шахри, Олмазор тумани, Дилсарой кўчаси, 5</t>
  </si>
  <si>
    <t>Олмазор туман прокуратураси</t>
  </si>
  <si>
    <t>41.350590</t>
  </si>
  <si>
    <t>69.239023</t>
  </si>
  <si>
    <t>0008276</t>
  </si>
  <si>
    <t>10428003</t>
  </si>
  <si>
    <t>95001422</t>
  </si>
  <si>
    <t>О.Бобожонова кўча 10 уй</t>
  </si>
  <si>
    <t>41.353043</t>
  </si>
  <si>
    <t>69.252419</t>
  </si>
  <si>
    <t>0008364</t>
  </si>
  <si>
    <t>10428005</t>
  </si>
  <si>
    <t>95001424</t>
  </si>
  <si>
    <t>Юнусобод туман Чинобод кўча 49 уй</t>
  </si>
  <si>
    <t>41.353190</t>
  </si>
  <si>
    <t>69.296338</t>
  </si>
  <si>
    <t>Тошкент шахар БХО</t>
  </si>
  <si>
    <t>0008292</t>
  </si>
  <si>
    <t>10424001</t>
  </si>
  <si>
    <t>900318877</t>
  </si>
  <si>
    <t>95000677</t>
  </si>
  <si>
    <t>М.Улугбек туман М.Улугбек кўча 93 уй</t>
  </si>
  <si>
    <t>"Пойтахт" автосалони</t>
  </si>
  <si>
    <t>41.346429</t>
  </si>
  <si>
    <t>69.346787</t>
  </si>
  <si>
    <t>0008397</t>
  </si>
  <si>
    <t>10424002</t>
  </si>
  <si>
    <t>95000082</t>
  </si>
  <si>
    <t>М.Улугбек туман Мустакиллик кўча 5 уй</t>
  </si>
  <si>
    <t>Амир Темур метро бекати</t>
  </si>
  <si>
    <t>Тошкент шахар БХО(Яшнобод)</t>
  </si>
  <si>
    <t>0008368</t>
  </si>
  <si>
    <t>10432001</t>
  </si>
  <si>
    <t>95001515</t>
  </si>
  <si>
    <t>Яшнобод туман Махтумкули куча 69 уй</t>
  </si>
  <si>
    <t>24/7(эски банк биноси)</t>
  </si>
  <si>
    <t>41.305251</t>
  </si>
  <si>
    <t>69.308661</t>
  </si>
  <si>
    <t>2016424</t>
  </si>
  <si>
    <t>10432002</t>
  </si>
  <si>
    <t>Мирзо-улуғбек тумани, Паркент кўчаси, 227 уй</t>
  </si>
  <si>
    <t>Dentmed мед техника</t>
  </si>
  <si>
    <t>41.311354</t>
  </si>
  <si>
    <t>69.333952</t>
  </si>
  <si>
    <t>2016425</t>
  </si>
  <si>
    <t>10432003</t>
  </si>
  <si>
    <t>Мирабадский тцумани, Шахрисабз кўчаси, 16а</t>
  </si>
  <si>
    <t>Ойбек БХМ</t>
  </si>
  <si>
    <t>41.299150</t>
  </si>
  <si>
    <t>69.274744</t>
  </si>
  <si>
    <t>Тошкент шахар БХО(Лабзак)</t>
  </si>
  <si>
    <t>0008277</t>
  </si>
  <si>
    <t>10442003</t>
  </si>
  <si>
    <t>900346348</t>
  </si>
  <si>
    <t>95001024</t>
  </si>
  <si>
    <t>Абай кўчаси 10А уй</t>
  </si>
  <si>
    <t>41.326787</t>
  </si>
  <si>
    <t>69.255620</t>
  </si>
  <si>
    <t>0008275</t>
  </si>
  <si>
    <t>10424003</t>
  </si>
  <si>
    <t>95001517</t>
  </si>
  <si>
    <t>41.326701</t>
  </si>
  <si>
    <t>69.255695</t>
  </si>
  <si>
    <t>Тошкент шахар БХО(Мирзо-Улугбек)</t>
  </si>
  <si>
    <t>0008288</t>
  </si>
  <si>
    <t>10399001</t>
  </si>
  <si>
    <t>95001518</t>
  </si>
  <si>
    <t>Тошкент ш. М.Улугбек туман Чамбил кўча</t>
  </si>
  <si>
    <t>ИИВ қоровул кўшинлар комондонлиги</t>
  </si>
  <si>
    <t xml:space="preserve"> Тошкент шахар БХО(Амалиёт бошкармаси)</t>
  </si>
  <si>
    <t>0008272</t>
  </si>
  <si>
    <t>10440001</t>
  </si>
  <si>
    <t>900346342</t>
  </si>
  <si>
    <t>95001012</t>
  </si>
  <si>
    <t>Шахрисабз кўча, 3 уй</t>
  </si>
  <si>
    <t>41.316884</t>
  </si>
  <si>
    <t>69.282402</t>
  </si>
  <si>
    <t xml:space="preserve"> Ал-Хоразмий БХМ</t>
  </si>
  <si>
    <t>2016420</t>
  </si>
  <si>
    <t>10434001</t>
  </si>
  <si>
    <t>Учтепа райион "Урикзор садо комплекси"Урикзор бозори</t>
  </si>
  <si>
    <t>41.286701</t>
  </si>
  <si>
    <t>69.149748</t>
  </si>
  <si>
    <t>0008384</t>
  </si>
  <si>
    <t>10434002</t>
  </si>
  <si>
    <t>900318876</t>
  </si>
  <si>
    <t>95001039</t>
  </si>
  <si>
    <t>Чилонзор 30 квартал 16А уй</t>
  </si>
  <si>
    <t>41.266623</t>
  </si>
  <si>
    <t>69.157552</t>
  </si>
  <si>
    <t xml:space="preserve"> Ал-Хоразмий БХМ(Учтепа)</t>
  </si>
  <si>
    <t>0008316</t>
  </si>
  <si>
    <t>10434003</t>
  </si>
  <si>
    <t>900367674</t>
  </si>
  <si>
    <t>95001511</t>
  </si>
  <si>
    <t>Фарход кўча 3А уй</t>
  </si>
  <si>
    <t xml:space="preserve"> Ал-Хоразмий БХМ(Лабзак)</t>
  </si>
  <si>
    <t>0008274</t>
  </si>
  <si>
    <t>10442001</t>
  </si>
  <si>
    <t>95001026</t>
  </si>
  <si>
    <t>Чилонзор тумани, Катта халқа йўли</t>
  </si>
  <si>
    <t>Абу Сахий</t>
  </si>
  <si>
    <t>41.247769</t>
  </si>
  <si>
    <t>69.165471</t>
  </si>
  <si>
    <t>0008273</t>
  </si>
  <si>
    <t>10434004</t>
  </si>
  <si>
    <t>900367675</t>
  </si>
  <si>
    <t>95001512</t>
  </si>
  <si>
    <t>2016419</t>
  </si>
  <si>
    <t>10435001</t>
  </si>
  <si>
    <t xml:space="preserve"> Яккасарайскый р-н, ул. Ш.Руставели д 48Аския базар</t>
  </si>
  <si>
    <t>41.284439</t>
  </si>
  <si>
    <t>69.252110</t>
  </si>
  <si>
    <t>0008269</t>
  </si>
  <si>
    <t>10435002</t>
  </si>
  <si>
    <t>900334337</t>
  </si>
  <si>
    <t>95000947</t>
  </si>
  <si>
    <t>Яккасарой туман Шохжахон куча 2А уй</t>
  </si>
  <si>
    <t>2016421</t>
  </si>
  <si>
    <t>10435005</t>
  </si>
  <si>
    <t>Инвестиция ва Ташки ишлар вазирлиги</t>
  </si>
  <si>
    <t>41.305515</t>
  </si>
  <si>
    <t>69.277503</t>
  </si>
  <si>
    <t>2016418</t>
  </si>
  <si>
    <t>10435003</t>
  </si>
  <si>
    <t>Шимолий Вокзал</t>
  </si>
  <si>
    <t>41.292271</t>
  </si>
  <si>
    <t>69.285261</t>
  </si>
  <si>
    <t>0008388</t>
  </si>
  <si>
    <t>10435004</t>
  </si>
  <si>
    <t>95001481</t>
  </si>
  <si>
    <t>Миробод туман Туркистон кўча 10</t>
  </si>
  <si>
    <t>Ўзсаноаткурилишбанк АТБ Миробод филиали</t>
  </si>
  <si>
    <t>69.286531</t>
  </si>
  <si>
    <t>0008381</t>
  </si>
  <si>
    <t>10435008</t>
  </si>
  <si>
    <t>95001485</t>
  </si>
  <si>
    <t>Чилонзор туман, Кичик халқа йўли</t>
  </si>
  <si>
    <t>Чилонзор дехкон бозори</t>
  </si>
  <si>
    <t>41.276717</t>
  </si>
  <si>
    <t>69.202740</t>
  </si>
  <si>
    <t>0008399</t>
  </si>
  <si>
    <t>10435006</t>
  </si>
  <si>
    <t>95001483</t>
  </si>
  <si>
    <t>Чилонзор туман, Катортол куча 60 уй</t>
  </si>
  <si>
    <t>Катартол оптом бозор</t>
  </si>
  <si>
    <t>2016422</t>
  </si>
  <si>
    <t>10435010</t>
  </si>
  <si>
    <t>Чилонзор туман, Ц-квартал, Мехр кўчаси, 57А</t>
  </si>
  <si>
    <t>Городской ГАИ</t>
  </si>
  <si>
    <t>41.279428</t>
  </si>
  <si>
    <t>69.205894</t>
  </si>
  <si>
    <t>0008367</t>
  </si>
  <si>
    <t>10435011</t>
  </si>
  <si>
    <t>95001489</t>
  </si>
  <si>
    <t>Учтепа туман, 14 квартал, 14 уй</t>
  </si>
  <si>
    <t>Лутфий БХМ</t>
  </si>
  <si>
    <t>41.296002</t>
  </si>
  <si>
    <t>69.193708</t>
  </si>
  <si>
    <t>0008280</t>
  </si>
  <si>
    <t>10435007</t>
  </si>
  <si>
    <t>95001487</t>
  </si>
  <si>
    <t>Чилонзор туман, Кичик халқа йўли, Шухрат остановкаси</t>
  </si>
  <si>
    <t>Andalus</t>
  </si>
  <si>
    <t>41.278299</t>
  </si>
  <si>
    <t>69.198351</t>
  </si>
  <si>
    <t>0008318</t>
  </si>
  <si>
    <t>10435009</t>
  </si>
  <si>
    <t>95001486</t>
  </si>
  <si>
    <t>Яккасарой туман, Шох-Жахон кўчаси</t>
  </si>
  <si>
    <t>Текстильный университет</t>
  </si>
  <si>
    <t>41.284285</t>
  </si>
  <si>
    <t>69.24529</t>
  </si>
  <si>
    <t>2016430</t>
  </si>
  <si>
    <t>10494001</t>
  </si>
  <si>
    <t>Фаргона шахар, комус кўча(24/7)</t>
  </si>
  <si>
    <t>40.385150</t>
  </si>
  <si>
    <t>71.789638</t>
  </si>
  <si>
    <t>2016426</t>
  </si>
  <si>
    <t>10494002</t>
  </si>
  <si>
    <t>Фаргона шахар, Маргилон қўча</t>
  </si>
  <si>
    <t>Стадион Нефтчи</t>
  </si>
  <si>
    <t>40.445618</t>
  </si>
  <si>
    <t>71.766388</t>
  </si>
  <si>
    <t>2016427</t>
  </si>
  <si>
    <t>10494003</t>
  </si>
  <si>
    <t>40.384996</t>
  </si>
  <si>
    <t>71.789629</t>
  </si>
  <si>
    <t>0008387</t>
  </si>
  <si>
    <t>10494004</t>
  </si>
  <si>
    <t>Тўкимачилик кўча 42 уй</t>
  </si>
  <si>
    <t>40.474227</t>
  </si>
  <si>
    <t>71.751878</t>
  </si>
  <si>
    <t>0008313</t>
  </si>
  <si>
    <t>10494005</t>
  </si>
  <si>
    <t>Маргилоний кўча 107Б уй</t>
  </si>
  <si>
    <t>40.477253</t>
  </si>
  <si>
    <t>71.724728</t>
  </si>
  <si>
    <t>0008281</t>
  </si>
  <si>
    <t>10494006</t>
  </si>
  <si>
    <t>Комус кўча 42 уй</t>
  </si>
  <si>
    <t>0008279</t>
  </si>
  <si>
    <t>10494007</t>
  </si>
  <si>
    <t>0008260</t>
  </si>
  <si>
    <t>10524001</t>
  </si>
  <si>
    <t>900346358</t>
  </si>
  <si>
    <t>Фаргона кўча 19 уй</t>
  </si>
  <si>
    <t>40.439241</t>
  </si>
  <si>
    <t>71.771834</t>
  </si>
  <si>
    <t>0008370</t>
  </si>
  <si>
    <t>10524002</t>
  </si>
  <si>
    <t xml:space="preserve"> Кукон БХМ</t>
  </si>
  <si>
    <t>2016434</t>
  </si>
  <si>
    <t>10531001</t>
  </si>
  <si>
    <t>ш.Коканд ул.А.Темур кучаси 1а уй</t>
  </si>
  <si>
    <t>40.525894</t>
  </si>
  <si>
    <t>70.938638</t>
  </si>
  <si>
    <t>2016504</t>
  </si>
  <si>
    <t>10531002</t>
  </si>
  <si>
    <t>ш.Коканд ул. Мовароуннахр"LADA" центр</t>
  </si>
  <si>
    <t>40.526400</t>
  </si>
  <si>
    <t>70.920527</t>
  </si>
  <si>
    <t>0008369</t>
  </si>
  <si>
    <t>10531003</t>
  </si>
  <si>
    <t>900332781</t>
  </si>
  <si>
    <t>95000945</t>
  </si>
  <si>
    <t>ш.Коканд, Сарбоз куча 1а уй</t>
  </si>
  <si>
    <t>Горгаз</t>
  </si>
  <si>
    <t>40.530093</t>
  </si>
  <si>
    <t>70.938278</t>
  </si>
  <si>
    <t>0008390</t>
  </si>
  <si>
    <t>10531004</t>
  </si>
  <si>
    <t>95000944</t>
  </si>
  <si>
    <t>А Темур куча 1а уй</t>
  </si>
  <si>
    <t>40.525935</t>
  </si>
  <si>
    <t>70.940093</t>
  </si>
  <si>
    <t>0008294</t>
  </si>
  <si>
    <t>10531005</t>
  </si>
  <si>
    <t>95000943</t>
  </si>
  <si>
    <t>Фарғона вилояти, Қўқон шахар Муқумий шахарчаси</t>
  </si>
  <si>
    <t>40.478013</t>
  </si>
  <si>
    <t>70.988704</t>
  </si>
  <si>
    <t>0008363</t>
  </si>
  <si>
    <t>10531006</t>
  </si>
  <si>
    <t>95000942</t>
  </si>
  <si>
    <t xml:space="preserve"> Кунгирот БХМ</t>
  </si>
  <si>
    <t>0008380</t>
  </si>
  <si>
    <t>10591001</t>
  </si>
  <si>
    <t>900346369</t>
  </si>
  <si>
    <t>95001042</t>
  </si>
  <si>
    <t>Кунгирот тумани Т.Айбергенов 48 уй</t>
  </si>
  <si>
    <t>0008267</t>
  </si>
  <si>
    <t>10591002</t>
  </si>
  <si>
    <t>95001041</t>
  </si>
  <si>
    <t>Кунгирот тумани Гарезсизлик 110 уй</t>
  </si>
  <si>
    <t>43.044957</t>
  </si>
  <si>
    <t>58.845046</t>
  </si>
  <si>
    <t>0008317</t>
  </si>
  <si>
    <t>10591003</t>
  </si>
  <si>
    <t>95001040</t>
  </si>
  <si>
    <t>Кунгирот тумани Навой 17 уй</t>
  </si>
  <si>
    <t>43.043859</t>
  </si>
  <si>
    <t>58.852280</t>
  </si>
  <si>
    <t>2016429</t>
  </si>
  <si>
    <t>10616001</t>
  </si>
  <si>
    <t>Тахиаташский район, улица Киятас, 29</t>
  </si>
  <si>
    <t>42.335138</t>
  </si>
  <si>
    <t>59.573817</t>
  </si>
  <si>
    <t>2016428</t>
  </si>
  <si>
    <t>10616002</t>
  </si>
  <si>
    <t>Тахиаташский район, улица Камалат</t>
  </si>
  <si>
    <t>Дехқон бозори</t>
  </si>
  <si>
    <t>42.3331431</t>
  </si>
  <si>
    <t>59.5805118</t>
  </si>
  <si>
    <t>0008271</t>
  </si>
  <si>
    <t>10616003</t>
  </si>
  <si>
    <t>900332324</t>
  </si>
  <si>
    <t>95001031</t>
  </si>
  <si>
    <t>0008287</t>
  </si>
  <si>
    <t>10616004</t>
  </si>
  <si>
    <t>95001032</t>
  </si>
  <si>
    <t xml:space="preserve"> Хоразм БХО</t>
  </si>
  <si>
    <t>0008383</t>
  </si>
  <si>
    <t>10853001</t>
  </si>
  <si>
    <t>900346349</t>
  </si>
  <si>
    <t>95001011</t>
  </si>
  <si>
    <t>Хоразм вилояти, Урганч шахар И.Каримов 128</t>
  </si>
  <si>
    <t xml:space="preserve">41.551334 </t>
  </si>
  <si>
    <t>60.630180</t>
  </si>
  <si>
    <t xml:space="preserve"> Кашкадаре БХО</t>
  </si>
  <si>
    <t>0008378</t>
  </si>
  <si>
    <t>10854001</t>
  </si>
  <si>
    <t>900318872</t>
  </si>
  <si>
    <t>95001004</t>
  </si>
  <si>
    <t>Хонобод шоссе 2а уй</t>
  </si>
  <si>
    <t>38.830223</t>
  </si>
  <si>
    <t>65.793573</t>
  </si>
  <si>
    <t>0008314</t>
  </si>
  <si>
    <t>10854002</t>
  </si>
  <si>
    <t>95001001</t>
  </si>
  <si>
    <t>0008385</t>
  </si>
  <si>
    <t>10854003</t>
  </si>
  <si>
    <t>95001000</t>
  </si>
  <si>
    <t>0008286</t>
  </si>
  <si>
    <t>10854004</t>
  </si>
  <si>
    <t>95000997</t>
  </si>
  <si>
    <t>0008392</t>
  </si>
  <si>
    <t>10854005</t>
  </si>
  <si>
    <t>95000996</t>
  </si>
  <si>
    <t>0008372</t>
  </si>
  <si>
    <t>10854006</t>
  </si>
  <si>
    <t>95001002</t>
  </si>
  <si>
    <t>0008261</t>
  </si>
  <si>
    <t>10854007</t>
  </si>
  <si>
    <t>95000994</t>
  </si>
  <si>
    <t>0008310</t>
  </si>
  <si>
    <t>10854008</t>
  </si>
  <si>
    <t>95000993</t>
  </si>
  <si>
    <t xml:space="preserve"> Сирдарё БХО</t>
  </si>
  <si>
    <t>0008379</t>
  </si>
  <si>
    <t>10855001</t>
  </si>
  <si>
    <t>900346376</t>
  </si>
  <si>
    <t>95001035</t>
  </si>
  <si>
    <t>Sirdaryo viloyati,  Yangiyer shaxar A.Temur kuchasi 3 uy</t>
  </si>
  <si>
    <t>0008373</t>
  </si>
  <si>
    <t>10855002</t>
  </si>
  <si>
    <t>95001034</t>
  </si>
  <si>
    <t>40.4956075</t>
  </si>
  <si>
    <t>68.7779934</t>
  </si>
  <si>
    <t>0008297</t>
  </si>
  <si>
    <t>10855003</t>
  </si>
  <si>
    <t>95001033</t>
  </si>
  <si>
    <t>ш.Гулитан, Узбекистан қўча</t>
  </si>
  <si>
    <t>Юселл биноси</t>
  </si>
  <si>
    <t>40.496813</t>
  </si>
  <si>
    <t>68.774621</t>
  </si>
  <si>
    <t>0008306</t>
  </si>
  <si>
    <t>10086003</t>
  </si>
  <si>
    <t>39.7612448</t>
  </si>
  <si>
    <t>64.4517965</t>
  </si>
  <si>
    <t>0008356</t>
  </si>
  <si>
    <t>10086002</t>
  </si>
  <si>
    <t>39.764267</t>
  </si>
  <si>
    <t>64.424746</t>
  </si>
  <si>
    <t xml:space="preserve"> Чирчик БХМ</t>
  </si>
  <si>
    <t>2016511</t>
  </si>
  <si>
    <t>10863001</t>
  </si>
  <si>
    <t>Тошкент вилояти, Бўстонлиқ тумани, Амирсой</t>
  </si>
  <si>
    <t>2016512</t>
  </si>
  <si>
    <t>10863002</t>
  </si>
  <si>
    <t>Тошкент вилояти, Чирчиқ шахри, Алишер Навои кўча</t>
  </si>
  <si>
    <t>41.473983</t>
  </si>
  <si>
    <t>69.587637</t>
  </si>
  <si>
    <t>2016513</t>
  </si>
  <si>
    <t>10863003</t>
  </si>
  <si>
    <t>Mobi uz</t>
  </si>
  <si>
    <t>41.474513</t>
  </si>
  <si>
    <t>69.588628</t>
  </si>
  <si>
    <t>2016514</t>
  </si>
  <si>
    <t>10863004</t>
  </si>
  <si>
    <t>Тошкент вилояти, Чирчиқ шахри, Алишер Навои кўча, 187</t>
  </si>
  <si>
    <t>Karvon магазин</t>
  </si>
  <si>
    <t>0008371</t>
  </si>
  <si>
    <t>10863005</t>
  </si>
  <si>
    <t>900334871</t>
  </si>
  <si>
    <t>95000928</t>
  </si>
  <si>
    <t>Тошкет вилояти, Чирчиқ шахар, Халқ бирлиги кўча кесишуви</t>
  </si>
  <si>
    <t>Макро супермаркети</t>
  </si>
  <si>
    <t>0008303</t>
  </si>
  <si>
    <t>10863006</t>
  </si>
  <si>
    <t>95000927</t>
  </si>
  <si>
    <t>Чирчиқ ш. В.Хайдаров кўчаси</t>
  </si>
  <si>
    <t>41.474319</t>
  </si>
  <si>
    <t>69.583199</t>
  </si>
  <si>
    <t>2016505</t>
  </si>
  <si>
    <t>10868001</t>
  </si>
  <si>
    <t>Нукус шахри (БХМ) А.Досназаров кучаси 8 А уй 24/7</t>
  </si>
  <si>
    <t>24//7</t>
  </si>
  <si>
    <t>2016506</t>
  </si>
  <si>
    <t>10868002</t>
  </si>
  <si>
    <t>42.456012</t>
  </si>
  <si>
    <t>59.621923</t>
  </si>
  <si>
    <t>0008301</t>
  </si>
  <si>
    <t>10868003</t>
  </si>
  <si>
    <t>900334152</t>
  </si>
  <si>
    <t>95000956</t>
  </si>
  <si>
    <t>А.Досназаров кучаси 71A(омборда)</t>
  </si>
  <si>
    <t>0008299</t>
  </si>
  <si>
    <t>10868004</t>
  </si>
  <si>
    <t>95000955</t>
  </si>
  <si>
    <t>Нукус шахри А. Шамуратова кучаси 117-А уй</t>
  </si>
  <si>
    <t>42.457652</t>
  </si>
  <si>
    <t>59.609312</t>
  </si>
  <si>
    <t>0008393</t>
  </si>
  <si>
    <t>10868005</t>
  </si>
  <si>
    <t>95000954</t>
  </si>
  <si>
    <t>41.839674</t>
  </si>
  <si>
    <t>60.908815</t>
  </si>
  <si>
    <t>2016515</t>
  </si>
  <si>
    <t>10884001</t>
  </si>
  <si>
    <t>Кибрай р-н, ул. А.Навои 3</t>
  </si>
  <si>
    <t>0008291</t>
  </si>
  <si>
    <t>10884002</t>
  </si>
  <si>
    <t>900336299</t>
  </si>
  <si>
    <t>95000948</t>
  </si>
  <si>
    <t xml:space="preserve">Тошкент вилояти Қибрай тумани Салар шах.унверситут кўча 1/1 </t>
  </si>
  <si>
    <t>41.349687</t>
  </si>
  <si>
    <t>69.209460</t>
  </si>
  <si>
    <t>0008358</t>
  </si>
  <si>
    <t>10884003</t>
  </si>
  <si>
    <t>95001047</t>
  </si>
  <si>
    <t>Зебунисо кўча 7 уй</t>
  </si>
  <si>
    <t>0008278</t>
  </si>
  <si>
    <t>10994001</t>
  </si>
  <si>
    <t>900346388</t>
  </si>
  <si>
    <t>95001036</t>
  </si>
  <si>
    <t>Ипак йўли кўча 13 уй</t>
  </si>
  <si>
    <t>39.659071</t>
  </si>
  <si>
    <t>66.922841</t>
  </si>
  <si>
    <t xml:space="preserve"> Ангрен БХМ</t>
  </si>
  <si>
    <t>2016501</t>
  </si>
  <si>
    <t>11022001</t>
  </si>
  <si>
    <t>ш.Ангрен, Ташкент вилоят, квартал 4/5</t>
  </si>
  <si>
    <t>41.01231</t>
  </si>
  <si>
    <t>70.08439</t>
  </si>
  <si>
    <t>2016502</t>
  </si>
  <si>
    <t>11022002</t>
  </si>
  <si>
    <t>Ангрен шахар Облик кургони Дустлик МФЙ</t>
  </si>
  <si>
    <t>40.97957</t>
  </si>
  <si>
    <t>70.05179</t>
  </si>
  <si>
    <t>0008394</t>
  </si>
  <si>
    <t>11022003</t>
  </si>
  <si>
    <t>900334611</t>
  </si>
  <si>
    <t>95000962</t>
  </si>
  <si>
    <t>ш.Ангрен, Ташкент вилояти, Узбекистон Мустакиллиги кўча</t>
  </si>
  <si>
    <t>0008309</t>
  </si>
  <si>
    <t>11022005</t>
  </si>
  <si>
    <t>95000960</t>
  </si>
  <si>
    <t>ш.Ангрен, Ташкент вилояти, квартал 5/4</t>
  </si>
  <si>
    <t>40.996153</t>
  </si>
  <si>
    <t>70.061689</t>
  </si>
  <si>
    <t xml:space="preserve"> Олмалик БХМ</t>
  </si>
  <si>
    <t>0008312</t>
  </si>
  <si>
    <t>11034001</t>
  </si>
  <si>
    <t>900346240</t>
  </si>
  <si>
    <t>95000990</t>
  </si>
  <si>
    <t>Тошкет вилояти, Олмалик шахар Амур Темур 28-уй</t>
  </si>
  <si>
    <t>0008375</t>
  </si>
  <si>
    <t>11034002</t>
  </si>
  <si>
    <t>95000992</t>
  </si>
  <si>
    <t>Тошкет вилояти, Бўка тумани Банк хизматлар маркази 24/7</t>
  </si>
  <si>
    <t>0008396</t>
  </si>
  <si>
    <t>11034003</t>
  </si>
  <si>
    <t>95000991</t>
  </si>
  <si>
    <t>Тошкет вилояти, АЖ Аммофос-Махам худуди</t>
  </si>
  <si>
    <t>0008305</t>
  </si>
  <si>
    <t>11034004</t>
  </si>
  <si>
    <t>95000961</t>
  </si>
  <si>
    <t xml:space="preserve"> Сурхондарё БХО</t>
  </si>
  <si>
    <t>2016417</t>
  </si>
  <si>
    <t>11045001</t>
  </si>
  <si>
    <t>Сурхандарё вилояти, Термиз шахар А.Навоий  кўчаси 45а</t>
  </si>
  <si>
    <t>Термез Банк биноси</t>
  </si>
  <si>
    <t>37.236703</t>
  </si>
  <si>
    <t>67.290219</t>
  </si>
  <si>
    <t>0008308</t>
  </si>
  <si>
    <t>11045002</t>
  </si>
  <si>
    <t>900332287</t>
  </si>
  <si>
    <t>95000959</t>
  </si>
  <si>
    <t>0008386</t>
  </si>
  <si>
    <t>11045003</t>
  </si>
  <si>
    <t>95000957</t>
  </si>
  <si>
    <t>Ат-Термезий кўча, Термез давлат университети олдида</t>
  </si>
  <si>
    <t>0008398</t>
  </si>
  <si>
    <t>11045004</t>
  </si>
  <si>
    <t>95000953</t>
  </si>
  <si>
    <t xml:space="preserve"> Бекобод БХМ</t>
  </si>
  <si>
    <t>11100001</t>
  </si>
  <si>
    <t>Бекобод ш., Шижоат кўчаси, Шова МФЙ, 37 уй</t>
  </si>
  <si>
    <t>Тошбоева Нуринсо ЯТТ дўкони</t>
  </si>
  <si>
    <t>40.224520</t>
  </si>
  <si>
    <t>69.187592</t>
  </si>
  <si>
    <t>0008290</t>
  </si>
  <si>
    <t>11100002</t>
  </si>
  <si>
    <t>900332417</t>
  </si>
  <si>
    <t>95000938</t>
  </si>
  <si>
    <t>Бекобод ш., Галаба кўчаси, Ўзбекистон МФЙ</t>
  </si>
  <si>
    <t xml:space="preserve"> Жиззах БХО</t>
  </si>
  <si>
    <t>0008289</t>
  </si>
  <si>
    <t>11152001</t>
  </si>
  <si>
    <t>900346368</t>
  </si>
  <si>
    <t>95001029</t>
  </si>
  <si>
    <t>Ш.Рашидов шох кўча 86 уй</t>
  </si>
  <si>
    <t>Нурбек кафе</t>
  </si>
  <si>
    <t>40.113441</t>
  </si>
  <si>
    <t>67.824405</t>
  </si>
  <si>
    <t>0008293</t>
  </si>
  <si>
    <t>11152002</t>
  </si>
  <si>
    <t>95001028</t>
  </si>
  <si>
    <t>Ш.Рашидов шох кўча 7 уй</t>
  </si>
  <si>
    <t>40.130263</t>
  </si>
  <si>
    <t>67.825226</t>
  </si>
  <si>
    <t>Бунёдкор БХМ</t>
  </si>
  <si>
    <t>Фаргона худудий БХО</t>
  </si>
  <si>
    <t>Учтепа тумани, Фарход кўчаси 3А уй</t>
  </si>
  <si>
    <t>40.104623</t>
  </si>
  <si>
    <t>67.836842</t>
  </si>
  <si>
    <t>Жиззах шахар Заргарлик куча, Маданият МФЙ, 98Б-уй</t>
  </si>
  <si>
    <t>Hamkorbank каршисида</t>
  </si>
  <si>
    <t>Банк биноси(банк омборида)</t>
  </si>
  <si>
    <t>Қашқадарьё вилояти, Шахрисабз тумани, Мираки МФЙ, А.Навои кўчаси, 31- уй</t>
  </si>
  <si>
    <t>Days Inn by Wyndham мехмонхонаси худудида</t>
  </si>
  <si>
    <t>39.032387</t>
  </si>
  <si>
    <t>67.110001</t>
  </si>
  <si>
    <t xml:space="preserve">VTM DT-7000I60XL </t>
  </si>
  <si>
    <t>027A1K2Q</t>
  </si>
  <si>
    <t>004400001164009</t>
  </si>
  <si>
    <t>23504000100011640807</t>
  </si>
  <si>
    <t>10107000900011640807</t>
  </si>
  <si>
    <t>Худуд номи</t>
  </si>
  <si>
    <t>Жами</t>
  </si>
  <si>
    <t>Банкоматлар сони, шундан:</t>
  </si>
  <si>
    <t>UZCARD</t>
  </si>
  <si>
    <t>Way4</t>
  </si>
  <si>
    <t>Нақд пул бериш</t>
  </si>
  <si>
    <t>Нақд пул бериш/қабул қилиш (ВАШ)</t>
  </si>
  <si>
    <t>Инфокиосклар сони, шундан:</t>
  </si>
  <si>
    <t>А.Навои кўчаси, 48 уй</t>
  </si>
  <si>
    <t>Янгиер шахар, А.Темур кўчаси, 3 уй</t>
  </si>
  <si>
    <t>Самарқанд шахар, Беруний кўчаси, Темир йўл автошох бекати</t>
  </si>
  <si>
    <t>Ангрен шахар, 5/1 А даха, 3 уй</t>
  </si>
  <si>
    <t>ТЕСТ</t>
  </si>
  <si>
    <t>Хива шахар, Ичан-Кала мажмуаси</t>
  </si>
  <si>
    <t>Хива Ичан-Кала</t>
  </si>
  <si>
    <t>41.377344</t>
  </si>
  <si>
    <t>60.360317</t>
  </si>
  <si>
    <t>Газли шахар, Амир Темур кучаси9-уй</t>
  </si>
  <si>
    <t>Пополнение</t>
  </si>
  <si>
    <t>-</t>
  </si>
  <si>
    <t>+</t>
  </si>
  <si>
    <t>Узкард карталари орқали коммунал ва бир марталик тўловларни амалга ошириш мумкин</t>
  </si>
  <si>
    <t>Узкарт карталари орқали АҚШ валютасини сотиш</t>
  </si>
  <si>
    <t>Нақд пул бериш/қабул қилиш</t>
  </si>
  <si>
    <t xml:space="preserve">Нақд пул бериш/қабул қилиш </t>
  </si>
  <si>
    <t>Тошкент шаҳар, Юнусобод тумани, Амир Темур шох кўчаси, 107-Б уй</t>
  </si>
  <si>
    <t>“Халқаро Ҳамкорлик Маркази” АЖ</t>
  </si>
  <si>
    <t>900374844</t>
  </si>
  <si>
    <t>11082</t>
  </si>
  <si>
    <t>900374885</t>
  </si>
  <si>
    <t>Фарғона вилояти, Фаргона шахар, Қомус кўчаси, 42 уй</t>
  </si>
  <si>
    <t xml:space="preserve">  Ал-Хоразмий БХМ( Сергели БХМ)</t>
  </si>
  <si>
    <t xml:space="preserve"> Ал-Хоразмий БХМ (Ракат БХМ(Катортол))</t>
  </si>
  <si>
    <t xml:space="preserve"> Ал-Хоразмий БХМ (Ракат БХМ(Чилонзор))</t>
  </si>
  <si>
    <t xml:space="preserve"> Тошкент шахар БХО (Юнусобод БХМ)</t>
  </si>
  <si>
    <t>Тошкент шахар БХО (Юнусобод БХМ(Олмазор))</t>
  </si>
  <si>
    <t xml:space="preserve">  Тошкент шахар БХО (Юнусобод БХМ(Шахристан))</t>
  </si>
  <si>
    <t>Тошкент шахар БХО (Ракат БХМ)</t>
  </si>
  <si>
    <t>Тошкент шахар БХО (Ракат БХМ(Миробод))</t>
  </si>
  <si>
    <t>Тошкент шахар БХО (Ракат БХМ(Чилонзор))</t>
  </si>
  <si>
    <t xml:space="preserve">  Чирчик БХМ (Кибрай БХМ)</t>
  </si>
  <si>
    <t xml:space="preserve"> Қорақалпоғистон БХО</t>
  </si>
  <si>
    <t xml:space="preserve"> Қорақалпоғистон БХО (Тахиатош БХМ)</t>
  </si>
  <si>
    <t>11088</t>
  </si>
  <si>
    <t>10853</t>
  </si>
  <si>
    <t>11189</t>
  </si>
  <si>
    <t>11192</t>
  </si>
  <si>
    <t>11190</t>
  </si>
  <si>
    <t>11186</t>
  </si>
  <si>
    <t>11185</t>
  </si>
  <si>
    <t>11191</t>
  </si>
  <si>
    <t>11193</t>
  </si>
  <si>
    <t>11187</t>
  </si>
  <si>
    <t>11196</t>
  </si>
  <si>
    <t>11640</t>
  </si>
  <si>
    <t>Фарғона худудий БХО</t>
  </si>
  <si>
    <t>Тўқимачилик БХМ</t>
  </si>
  <si>
    <t>Сергили БХМ</t>
  </si>
  <si>
    <t>Учтепа БХМ</t>
  </si>
  <si>
    <t>М.Улуғбек БХМ</t>
  </si>
  <si>
    <t>Олмазор БХМ</t>
  </si>
  <si>
    <t>Қатартол БХМ</t>
  </si>
  <si>
    <t>Шахристон БХМ</t>
  </si>
  <si>
    <t>Ўрта бизнес БХМ</t>
  </si>
  <si>
    <t>Корпоратив БХМ</t>
  </si>
  <si>
    <t>Андижон БХО</t>
  </si>
  <si>
    <t>Бухоро БХО</t>
  </si>
  <si>
    <t>Карши БХМ</t>
  </si>
  <si>
    <t>Шахрисабз БХМ</t>
  </si>
  <si>
    <t>Косон БХМ</t>
  </si>
  <si>
    <t>95001994</t>
  </si>
  <si>
    <t>95001995</t>
  </si>
  <si>
    <t>95001996</t>
  </si>
  <si>
    <t>95001961</t>
  </si>
  <si>
    <t>95001502</t>
  </si>
  <si>
    <t>95001504</t>
  </si>
  <si>
    <t>95001935</t>
  </si>
  <si>
    <t>95001806</t>
  </si>
  <si>
    <t>95001505</t>
  </si>
  <si>
    <t>95001807</t>
  </si>
  <si>
    <t>95001503</t>
  </si>
  <si>
    <t xml:space="preserve"> Фаргона БХО</t>
  </si>
  <si>
    <t>CashOut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</si>
</sst>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00000"/>
  </numFmts>
  <fonts count="2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b/>
      <sz val="13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3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9" tint="-0.249977111117893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3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164" fontId="7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0" fontId="7" fillId="0" borderId="0"/>
    <xf numFmtId="0" fontId="8" fillId="0" borderId="0"/>
    <xf numFmtId="0" fontId="9" fillId="0" borderId="0"/>
  </cellStyleXfs>
  <cellXfs count="23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6" fillId="3" borderId="15" xfId="0" applyNumberFormat="1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1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3" borderId="17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/>
    </xf>
    <xf numFmtId="49" fontId="11" fillId="2" borderId="23" xfId="0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8" xfId="0" applyFont="1" applyBorder="1"/>
    <xf numFmtId="165" fontId="4" fillId="0" borderId="17" xfId="1" applyNumberFormat="1" applyFont="1" applyBorder="1" applyAlignment="1">
      <alignment horizontal="center" vertical="center"/>
    </xf>
    <xf numFmtId="165" fontId="4" fillId="0" borderId="15" xfId="1" applyNumberFormat="1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 vertical="center"/>
    </xf>
    <xf numFmtId="165" fontId="4" fillId="0" borderId="19" xfId="1" applyNumberFormat="1" applyFont="1" applyBorder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65" fontId="4" fillId="2" borderId="3" xfId="1" applyNumberFormat="1" applyFont="1" applyFill="1" applyBorder="1" applyAlignment="1">
      <alignment horizontal="center" vertical="center"/>
    </xf>
    <xf numFmtId="49" fontId="11" fillId="2" borderId="4" xfId="0" applyNumberFormat="1" applyFont="1" applyFill="1" applyBorder="1" applyAlignment="1">
      <alignment horizontal="center" vertical="center"/>
    </xf>
    <xf numFmtId="165" fontId="4" fillId="0" borderId="21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4" borderId="38" xfId="0" applyFont="1" applyFill="1" applyBorder="1" applyAlignment="1">
      <alignment horizontal="center" vertical="center"/>
    </xf>
    <xf numFmtId="0" fontId="10" fillId="4" borderId="42" xfId="0" applyFont="1" applyFill="1" applyBorder="1" applyAlignment="1">
      <alignment horizontal="center" vertical="center"/>
    </xf>
    <xf numFmtId="0" fontId="14" fillId="0" borderId="0" xfId="0" applyFont="1"/>
    <xf numFmtId="0" fontId="10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65" fontId="4" fillId="0" borderId="8" xfId="1" applyNumberFormat="1" applyFont="1" applyBorder="1" applyAlignment="1">
      <alignment horizontal="center" vertical="center"/>
    </xf>
    <xf numFmtId="165" fontId="4" fillId="0" borderId="27" xfId="1" applyNumberFormat="1" applyFont="1" applyBorder="1" applyAlignment="1">
      <alignment horizontal="center" vertical="center"/>
    </xf>
    <xf numFmtId="165" fontId="4" fillId="0" borderId="25" xfId="1" applyNumberFormat="1" applyFont="1" applyBorder="1" applyAlignment="1">
      <alignment horizontal="center" vertical="center"/>
    </xf>
    <xf numFmtId="165" fontId="4" fillId="0" borderId="23" xfId="1" applyNumberFormat="1" applyFont="1" applyBorder="1" applyAlignment="1">
      <alignment horizontal="center" vertical="center"/>
    </xf>
    <xf numFmtId="165" fontId="4" fillId="0" borderId="28" xfId="1" applyNumberFormat="1" applyFont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165" fontId="4" fillId="0" borderId="26" xfId="1" applyNumberFormat="1" applyFont="1" applyBorder="1" applyAlignment="1">
      <alignment horizontal="center" vertical="center"/>
    </xf>
    <xf numFmtId="165" fontId="4" fillId="0" borderId="10" xfId="1" applyNumberFormat="1" applyFont="1" applyBorder="1" applyAlignment="1">
      <alignment horizontal="center" vertical="center"/>
    </xf>
    <xf numFmtId="165" fontId="4" fillId="0" borderId="45" xfId="1" applyNumberFormat="1" applyFont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0" fillId="4" borderId="36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/>
    </xf>
    <xf numFmtId="49" fontId="5" fillId="0" borderId="20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/>
    </xf>
    <xf numFmtId="49" fontId="1" fillId="0" borderId="23" xfId="0" applyNumberFormat="1" applyFont="1" applyBorder="1" applyAlignment="1">
      <alignment horizontal="center"/>
    </xf>
    <xf numFmtId="49" fontId="6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49" fontId="16" fillId="0" borderId="3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49" fontId="17" fillId="0" borderId="0" xfId="0" applyNumberFormat="1" applyFont="1"/>
    <xf numFmtId="49" fontId="1" fillId="0" borderId="3" xfId="0" applyNumberFormat="1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/>
    </xf>
    <xf numFmtId="49" fontId="16" fillId="6" borderId="3" xfId="0" applyNumberFormat="1" applyFont="1" applyFill="1" applyBorder="1" applyAlignment="1">
      <alignment horizontal="center"/>
    </xf>
    <xf numFmtId="49" fontId="1" fillId="0" borderId="3" xfId="0" applyNumberFormat="1" applyFont="1" applyBorder="1" applyAlignment="1">
      <alignment horizontal="center" wrapText="1"/>
    </xf>
    <xf numFmtId="2" fontId="5" fillId="0" borderId="3" xfId="6" applyNumberFormat="1" applyFont="1" applyBorder="1" applyAlignment="1">
      <alignment horizontal="left" vertical="top" wrapText="1"/>
    </xf>
    <xf numFmtId="16" fontId="1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49" fontId="5" fillId="0" borderId="18" xfId="0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49" fontId="20" fillId="0" borderId="23" xfId="0" applyNumberFormat="1" applyFont="1" applyBorder="1" applyAlignment="1">
      <alignment horizontal="center"/>
    </xf>
    <xf numFmtId="49" fontId="1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6" fillId="3" borderId="34" xfId="0" applyFont="1" applyFill="1" applyBorder="1" applyAlignment="1">
      <alignment horizontal="center" vertical="center" wrapText="1"/>
    </xf>
    <xf numFmtId="49" fontId="6" fillId="3" borderId="35" xfId="0" applyNumberFormat="1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49" fontId="6" fillId="2" borderId="35" xfId="0" applyNumberFormat="1" applyFont="1" applyFill="1" applyBorder="1" applyAlignment="1">
      <alignment horizontal="center" vertical="center" wrapText="1"/>
    </xf>
    <xf numFmtId="49" fontId="6" fillId="2" borderId="36" xfId="0" applyNumberFormat="1" applyFont="1" applyFill="1" applyBorder="1" applyAlignment="1">
      <alignment horizontal="center" vertical="center" wrapText="1"/>
    </xf>
    <xf numFmtId="0" fontId="22" fillId="5" borderId="4" xfId="0" applyFont="1" applyFill="1" applyBorder="1" applyAlignment="1">
      <alignment horizontal="center" vertical="center" wrapText="1"/>
    </xf>
    <xf numFmtId="49" fontId="23" fillId="0" borderId="23" xfId="0" applyNumberFormat="1" applyFont="1" applyBorder="1" applyAlignment="1">
      <alignment horizontal="center"/>
    </xf>
    <xf numFmtId="49" fontId="23" fillId="0" borderId="15" xfId="0" applyNumberFormat="1" applyFont="1" applyBorder="1" applyAlignment="1">
      <alignment horizontal="center"/>
    </xf>
    <xf numFmtId="0" fontId="24" fillId="7" borderId="35" xfId="0" applyFont="1" applyFill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5" xfId="0" applyFont="1" applyBorder="1"/>
    <xf numFmtId="0" fontId="23" fillId="0" borderId="32" xfId="0" applyFont="1" applyBorder="1"/>
    <xf numFmtId="49" fontId="23" fillId="0" borderId="49" xfId="0" applyNumberFormat="1" applyFont="1" applyBorder="1" applyAlignment="1">
      <alignment horizontal="center"/>
    </xf>
    <xf numFmtId="0" fontId="22" fillId="5" borderId="27" xfId="0" applyFont="1" applyFill="1" applyBorder="1" applyAlignment="1">
      <alignment horizontal="center" vertical="center" wrapText="1"/>
    </xf>
    <xf numFmtId="0" fontId="21" fillId="0" borderId="0" xfId="0" applyFont="1"/>
    <xf numFmtId="0" fontId="24" fillId="7" borderId="12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/>
    </xf>
    <xf numFmtId="0" fontId="23" fillId="0" borderId="47" xfId="0" applyFont="1" applyBorder="1"/>
    <xf numFmtId="49" fontId="23" fillId="0" borderId="1" xfId="0" applyNumberFormat="1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5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9" fontId="6" fillId="2" borderId="56" xfId="0" applyNumberFormat="1" applyFont="1" applyFill="1" applyBorder="1" applyAlignment="1">
      <alignment horizontal="center" vertical="center" wrapText="1"/>
    </xf>
    <xf numFmtId="0" fontId="1" fillId="0" borderId="56" xfId="0" applyFont="1" applyBorder="1" applyAlignment="1">
      <alignment horizontal="center"/>
    </xf>
    <xf numFmtId="0" fontId="0" fillId="0" borderId="0" xfId="0" applyAlignment="1">
      <alignment horizontal="center"/>
    </xf>
    <xf numFmtId="49" fontId="1" fillId="0" borderId="56" xfId="0" applyNumberFormat="1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49" fontId="5" fillId="0" borderId="15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11" fillId="0" borderId="30" xfId="0" applyNumberFormat="1" applyFont="1" applyBorder="1" applyAlignment="1">
      <alignment horizontal="center"/>
    </xf>
    <xf numFmtId="49" fontId="11" fillId="0" borderId="40" xfId="0" applyNumberFormat="1" applyFont="1" applyBorder="1" applyAlignment="1">
      <alignment horizontal="center"/>
    </xf>
    <xf numFmtId="166" fontId="1" fillId="8" borderId="3" xfId="0" applyNumberFormat="1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166" fontId="5" fillId="8" borderId="3" xfId="0" applyNumberFormat="1" applyFont="1" applyFill="1" applyBorder="1" applyAlignment="1">
      <alignment horizontal="center"/>
    </xf>
    <xf numFmtId="49" fontId="23" fillId="0" borderId="9" xfId="0" applyNumberFormat="1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49" fontId="23" fillId="0" borderId="3" xfId="0" applyNumberFormat="1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165" fontId="4" fillId="0" borderId="44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49" fontId="6" fillId="0" borderId="15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20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2" fillId="8" borderId="0" xfId="0" applyFont="1" applyFill="1"/>
    <xf numFmtId="0" fontId="6" fillId="8" borderId="15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49" fontId="5" fillId="8" borderId="0" xfId="0" applyNumberFormat="1" applyFont="1" applyFill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1" fillId="0" borderId="46" xfId="0" applyNumberFormat="1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24" fillId="7" borderId="14" xfId="0" applyFont="1" applyFill="1" applyBorder="1" applyAlignment="1">
      <alignment horizontal="center" vertical="center"/>
    </xf>
    <xf numFmtId="0" fontId="24" fillId="7" borderId="44" xfId="0" applyFont="1" applyFill="1" applyBorder="1" applyAlignment="1">
      <alignment horizontal="center" vertical="center"/>
    </xf>
    <xf numFmtId="0" fontId="22" fillId="5" borderId="55" xfId="0" applyFont="1" applyFill="1" applyBorder="1" applyAlignment="1">
      <alignment horizontal="center" vertical="center"/>
    </xf>
    <xf numFmtId="0" fontId="22" fillId="5" borderId="53" xfId="0" applyFont="1" applyFill="1" applyBorder="1" applyAlignment="1">
      <alignment horizontal="center" vertical="center"/>
    </xf>
    <xf numFmtId="0" fontId="22" fillId="5" borderId="38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/>
    </xf>
    <xf numFmtId="0" fontId="22" fillId="5" borderId="50" xfId="0" applyFont="1" applyFill="1" applyBorder="1" applyAlignment="1">
      <alignment horizontal="center" vertical="center"/>
    </xf>
    <xf numFmtId="0" fontId="22" fillId="5" borderId="51" xfId="0" applyFont="1" applyFill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5" borderId="48" xfId="0" applyFont="1" applyFill="1" applyBorder="1" applyAlignment="1">
      <alignment horizontal="center" vertical="center"/>
    </xf>
    <xf numFmtId="0" fontId="22" fillId="5" borderId="37" xfId="0" applyFont="1" applyFill="1" applyBorder="1" applyAlignment="1">
      <alignment horizontal="center" vertical="center"/>
    </xf>
    <xf numFmtId="0" fontId="22" fillId="5" borderId="15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</cellXfs>
  <cellStyles count="8">
    <cellStyle name="Обычный" xfId="0" builtinId="0"/>
    <cellStyle name="Обычный 10 2 2" xfId="6" xr:uid="{00000000-0005-0000-0000-000001000000}"/>
    <cellStyle name="Обычный 19" xfId="2" xr:uid="{00000000-0005-0000-0000-000002000000}"/>
    <cellStyle name="Обычный 2" xfId="4" xr:uid="{00000000-0005-0000-0000-000003000000}"/>
    <cellStyle name="Обычный 2 2" xfId="7" xr:uid="{39A304D6-574B-446C-9776-F418F434DC4A}"/>
    <cellStyle name="Обычный 3" xfId="3" xr:uid="{00000000-0005-0000-0000-000004000000}"/>
    <cellStyle name="Обычный 5" xfId="5" xr:uid="{00000000-0005-0000-0000-000005000000}"/>
    <cellStyle name="Финансовый" xfId="1" builtinId="3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M5"/>
  <sheetViews>
    <sheetView tabSelected="1" zoomScale="83" zoomScaleNormal="83" zoomScaleSheetLayoutView="115" workbookViewId="0">
      <pane xSplit="10" ySplit="2" topLeftCell="K3" activePane="bottomRight" state="frozen"/>
      <selection pane="topRight" activeCell="L1" sqref="L1"/>
      <selection pane="bottomLeft" activeCell="A5" sqref="A5"/>
      <selection pane="bottomRight" activeCell="P9" sqref="P9"/>
    </sheetView>
  </sheetViews>
  <sheetFormatPr defaultColWidth="8.85546875" defaultRowHeight="15" x14ac:dyDescent="0.25"/>
  <cols>
    <col min="1" max="1" width="13.28515625" style="2" bestFit="1" customWidth="1"/>
    <col min="2" max="2" width="13.28515625" style="2" customWidth="1"/>
    <col min="3" max="3" width="12.5703125" style="170" customWidth="1"/>
    <col min="4" max="4" width="10.85546875" style="170" bestFit="1" customWidth="1"/>
    <col min="5" max="5" width="30" style="170" bestFit="1" customWidth="1"/>
    <col min="6" max="6" width="45.42578125" style="170" bestFit="1" customWidth="1"/>
    <col min="7" max="7" width="20.140625" style="2" customWidth="1"/>
    <col min="8" max="8" width="15.140625" style="2" bestFit="1" customWidth="1"/>
    <col min="9" max="9" width="13.42578125" style="1" customWidth="1"/>
    <col min="10" max="10" width="13.5703125" style="2" customWidth="1"/>
    <col min="11" max="12" width="26.5703125" style="2" hidden="1" customWidth="1"/>
    <col min="13" max="13" width="26.85546875" style="2" hidden="1" customWidth="1"/>
    <col min="14" max="14" width="17.5703125" style="170" customWidth="1"/>
    <col min="15" max="15" width="16.42578125" style="171" customWidth="1"/>
    <col min="16" max="16" width="18.42578125" style="2" customWidth="1"/>
    <col min="17" max="17" width="80.140625" style="186" customWidth="1"/>
    <col min="18" max="19" width="18.42578125" style="2" customWidth="1"/>
    <col min="20" max="20" width="10.28515625" style="2" hidden="1" customWidth="1"/>
    <col min="21" max="21" width="8.85546875" style="2" hidden="1" customWidth="1"/>
    <col min="22" max="22" width="10.28515625" style="2" hidden="1" customWidth="1"/>
    <col min="23" max="27" width="8.85546875" style="2" hidden="1" customWidth="1"/>
    <col min="28" max="28" width="13.5703125" style="2" hidden="1" customWidth="1"/>
    <col min="29" max="29" width="13.7109375" style="2" hidden="1" customWidth="1"/>
    <col min="30" max="30" width="13.5703125" style="2" hidden="1" customWidth="1"/>
    <col min="31" max="31" width="13.7109375" style="2" hidden="1" customWidth="1"/>
    <col min="32" max="39" width="8.85546875" style="2" hidden="1" customWidth="1"/>
    <col min="40" max="16384" width="8.85546875" style="2"/>
  </cols>
  <sheetData>
    <row r="1" spans="1:39" ht="15.75" thickBot="1" x14ac:dyDescent="0.3">
      <c r="Q1" s="183"/>
      <c r="R1" s="173"/>
      <c r="S1" s="172"/>
      <c r="T1" s="193">
        <v>45703</v>
      </c>
      <c r="U1" s="194"/>
      <c r="V1" s="194">
        <v>45716</v>
      </c>
      <c r="W1" s="194"/>
      <c r="X1" s="194">
        <v>45777</v>
      </c>
      <c r="Y1" s="194"/>
      <c r="Z1" s="191">
        <v>45792</v>
      </c>
      <c r="AA1" s="192"/>
      <c r="AB1" s="191">
        <v>45823</v>
      </c>
      <c r="AC1" s="192"/>
      <c r="AD1" s="191">
        <v>45838</v>
      </c>
      <c r="AE1" s="192"/>
      <c r="AF1" s="191">
        <v>45853</v>
      </c>
      <c r="AG1" s="192"/>
      <c r="AH1" s="191">
        <v>45869</v>
      </c>
      <c r="AI1" s="192"/>
      <c r="AJ1" s="191">
        <v>45886</v>
      </c>
      <c r="AK1" s="192"/>
      <c r="AL1" s="191">
        <v>45930</v>
      </c>
      <c r="AM1" s="192"/>
    </row>
    <row r="2" spans="1:39" s="177" customFormat="1" ht="42.75" x14ac:dyDescent="0.25">
      <c r="A2" s="174" t="s">
        <v>0</v>
      </c>
      <c r="B2" s="174" t="s">
        <v>0</v>
      </c>
      <c r="C2" s="175" t="s">
        <v>6</v>
      </c>
      <c r="D2" s="175" t="s">
        <v>6</v>
      </c>
      <c r="E2" s="175" t="s">
        <v>511</v>
      </c>
      <c r="F2" s="175" t="s">
        <v>7</v>
      </c>
      <c r="G2" s="176" t="s">
        <v>1</v>
      </c>
      <c r="H2" s="176"/>
      <c r="I2" s="176" t="s">
        <v>8</v>
      </c>
      <c r="J2" s="176" t="s">
        <v>12</v>
      </c>
      <c r="K2" s="176" t="s">
        <v>2</v>
      </c>
      <c r="L2" s="176" t="s">
        <v>751</v>
      </c>
      <c r="M2" s="176" t="s">
        <v>3</v>
      </c>
      <c r="N2" s="175" t="s">
        <v>4</v>
      </c>
      <c r="O2" s="175" t="s">
        <v>5</v>
      </c>
      <c r="P2" s="176" t="s">
        <v>6</v>
      </c>
      <c r="Q2" s="184" t="s">
        <v>9</v>
      </c>
      <c r="R2" s="176" t="s">
        <v>18</v>
      </c>
      <c r="S2" s="176" t="s">
        <v>17</v>
      </c>
      <c r="T2" s="2" t="s">
        <v>839</v>
      </c>
      <c r="U2" s="2" t="s">
        <v>840</v>
      </c>
      <c r="V2" s="2" t="s">
        <v>839</v>
      </c>
      <c r="W2" s="2" t="s">
        <v>840</v>
      </c>
      <c r="X2" s="2" t="s">
        <v>839</v>
      </c>
      <c r="Y2" s="2" t="s">
        <v>840</v>
      </c>
      <c r="Z2" s="2" t="s">
        <v>839</v>
      </c>
      <c r="AA2" s="2" t="s">
        <v>840</v>
      </c>
      <c r="AB2" s="2" t="s">
        <v>839</v>
      </c>
      <c r="AC2" s="2" t="s">
        <v>840</v>
      </c>
      <c r="AD2" s="2" t="s">
        <v>839</v>
      </c>
      <c r="AE2" s="2" t="s">
        <v>840</v>
      </c>
      <c r="AF2" s="2" t="s">
        <v>839</v>
      </c>
      <c r="AG2" s="2" t="s">
        <v>840</v>
      </c>
      <c r="AH2" s="2" t="s">
        <v>839</v>
      </c>
      <c r="AI2" s="2" t="s">
        <v>840</v>
      </c>
      <c r="AJ2" s="2" t="s">
        <v>839</v>
      </c>
      <c r="AK2" s="2" t="s">
        <v>840</v>
      </c>
      <c r="AL2" s="2" t="s">
        <v>839</v>
      </c>
      <c r="AM2" s="2" t="s">
        <v>840</v>
      </c>
    </row>
    <row r="3" spans="1:39" ht="15" customHeight="1" x14ac:dyDescent="0.25">
      <c r="A3" s="84">
        <v>1</v>
      </c>
      <c r="B3" s="84">
        <v>1</v>
      </c>
      <c r="C3" s="77" t="s">
        <v>13</v>
      </c>
      <c r="D3" s="77" t="s">
        <v>221</v>
      </c>
      <c r="E3" s="77" t="s">
        <v>16</v>
      </c>
      <c r="F3" s="77" t="s">
        <v>400</v>
      </c>
      <c r="G3" s="78" t="s">
        <v>14</v>
      </c>
      <c r="H3" s="78" t="s">
        <v>1762</v>
      </c>
      <c r="I3" s="79" t="s">
        <v>413</v>
      </c>
      <c r="J3" s="78">
        <v>57208979</v>
      </c>
      <c r="K3" s="78" t="s">
        <v>15</v>
      </c>
      <c r="L3" s="78"/>
      <c r="M3" s="78" t="s">
        <v>128</v>
      </c>
      <c r="N3" s="77">
        <v>900333415</v>
      </c>
      <c r="O3" s="57">
        <v>34884</v>
      </c>
      <c r="P3" s="78" t="s">
        <v>13</v>
      </c>
      <c r="Q3" s="185" t="s">
        <v>814</v>
      </c>
      <c r="R3" s="78" t="s">
        <v>464</v>
      </c>
      <c r="S3" s="78" t="s">
        <v>463</v>
      </c>
    </row>
    <row r="4" spans="1:39" ht="15.75" customHeight="1" x14ac:dyDescent="0.25">
      <c r="C4" s="179"/>
      <c r="D4" s="179"/>
      <c r="E4" s="179"/>
      <c r="F4" s="180"/>
      <c r="G4" s="178"/>
      <c r="H4" s="178"/>
      <c r="I4" s="181"/>
      <c r="J4" s="178"/>
      <c r="K4" s="178"/>
      <c r="L4" s="178"/>
      <c r="M4" s="178"/>
      <c r="N4" s="179"/>
      <c r="O4" s="182"/>
      <c r="P4" s="178"/>
      <c r="Q4" s="187"/>
      <c r="R4" s="181"/>
      <c r="S4" s="181"/>
    </row>
    <row r="5" spans="1:39" ht="15" customHeight="1" x14ac:dyDescent="0.25"/>
  </sheetData>
  <autoFilter ref="A2:AM3" xr:uid="{00000000-0001-0000-0000-000000000000}"/>
  <mergeCells count="10">
    <mergeCell ref="AD1:AE1"/>
    <mergeCell ref="AL1:AM1"/>
    <mergeCell ref="AJ1:AK1"/>
    <mergeCell ref="T1:U1"/>
    <mergeCell ref="V1:W1"/>
    <mergeCell ref="X1:Y1"/>
    <mergeCell ref="Z1:AA1"/>
    <mergeCell ref="AB1:AC1"/>
    <mergeCell ref="AH1:AI1"/>
    <mergeCell ref="AF1:AG1"/>
  </mergeCells>
  <phoneticPr fontId="15" type="noConversion"/>
  <conditionalFormatting sqref="J1:J1048576">
    <cfRule type="duplicateValues" dxfId="25" priority="1"/>
  </conditionalFormatting>
  <conditionalFormatting sqref="J1:J5">
    <cfRule type="duplicateValues" dxfId="6" priority="140"/>
  </conditionalFormatting>
  <conditionalFormatting sqref="J1:J1048576">
    <cfRule type="duplicateValues" dxfId="5" priority="142"/>
  </conditionalFormatting>
  <conditionalFormatting sqref="J1:J4">
    <cfRule type="duplicateValues" dxfId="4" priority="148"/>
  </conditionalFormatting>
  <conditionalFormatting sqref="O1:O1048576">
    <cfRule type="duplicateValues" dxfId="3" priority="150"/>
  </conditionalFormatting>
  <conditionalFormatting sqref="O1:O4">
    <cfRule type="duplicateValues" dxfId="2" priority="153"/>
  </conditionalFormatting>
  <conditionalFormatting sqref="O1:O4">
    <cfRule type="duplicateValues" dxfId="1" priority="155"/>
  </conditionalFormatting>
  <conditionalFormatting sqref="O4">
    <cfRule type="duplicateValues" dxfId="0" priority="157"/>
  </conditionalFormatting>
  <pageMargins left="0.59055118110236227" right="0" top="0.6692913385826772" bottom="0.19685039370078741" header="0.19685039370078741" footer="0.19685039370078741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3848-83CB-4C0F-91C4-43B666EA9DB5}">
  <sheetPr>
    <tabColor rgb="FFFF0000"/>
  </sheetPr>
  <dimension ref="A1:L18"/>
  <sheetViews>
    <sheetView zoomScale="115" zoomScaleNormal="115" workbookViewId="0">
      <selection activeCell="C17" sqref="C17"/>
    </sheetView>
  </sheetViews>
  <sheetFormatPr defaultRowHeight="15" x14ac:dyDescent="0.25"/>
  <cols>
    <col min="2" max="2" width="31.85546875" customWidth="1"/>
    <col min="3" max="3" width="9.5703125" customWidth="1"/>
    <col min="4" max="4" width="9.7109375" hidden="1" customWidth="1"/>
    <col min="5" max="5" width="14.85546875" bestFit="1" customWidth="1"/>
    <col min="6" max="6" width="14.7109375" hidden="1" customWidth="1"/>
    <col min="7" max="7" width="13.85546875" hidden="1" customWidth="1"/>
    <col min="8" max="8" width="7.85546875" hidden="1" customWidth="1"/>
    <col min="9" max="9" width="14.85546875" bestFit="1" customWidth="1"/>
    <col min="10" max="10" width="9.7109375" hidden="1" customWidth="1"/>
    <col min="11" max="11" width="14.85546875" bestFit="1" customWidth="1"/>
    <col min="12" max="12" width="32.85546875" bestFit="1" customWidth="1"/>
    <col min="15" max="15" width="12.42578125" bestFit="1" customWidth="1"/>
  </cols>
  <sheetData>
    <row r="1" spans="1:12" ht="20.25" customHeight="1" x14ac:dyDescent="0.25">
      <c r="A1" s="202" t="s">
        <v>0</v>
      </c>
      <c r="B1" s="205" t="s">
        <v>1680</v>
      </c>
      <c r="C1" s="208" t="s">
        <v>1681</v>
      </c>
      <c r="D1" s="210" t="s">
        <v>1682</v>
      </c>
      <c r="E1" s="211"/>
      <c r="F1" s="211"/>
      <c r="G1" s="211"/>
      <c r="H1" s="211"/>
      <c r="I1" s="211"/>
      <c r="J1" s="211"/>
      <c r="K1" s="211"/>
      <c r="L1" s="197" t="s">
        <v>1687</v>
      </c>
    </row>
    <row r="2" spans="1:12" ht="20.25" customHeight="1" x14ac:dyDescent="0.25">
      <c r="A2" s="203"/>
      <c r="B2" s="206"/>
      <c r="C2" s="200"/>
      <c r="D2" s="201" t="s">
        <v>1683</v>
      </c>
      <c r="E2" s="212"/>
      <c r="F2" s="212"/>
      <c r="G2" s="213"/>
      <c r="H2" s="201" t="s">
        <v>178</v>
      </c>
      <c r="I2" s="212"/>
      <c r="J2" s="200" t="s">
        <v>1684</v>
      </c>
      <c r="K2" s="201"/>
      <c r="L2" s="198"/>
    </row>
    <row r="3" spans="1:12" ht="153" customHeight="1" thickBot="1" x14ac:dyDescent="0.3">
      <c r="A3" s="204"/>
      <c r="B3" s="207"/>
      <c r="C3" s="209"/>
      <c r="D3" s="127" t="s">
        <v>1685</v>
      </c>
      <c r="E3" s="127" t="s">
        <v>1686</v>
      </c>
      <c r="F3" s="127" t="s">
        <v>1701</v>
      </c>
      <c r="G3" s="127" t="s">
        <v>1702</v>
      </c>
      <c r="H3" s="127" t="s">
        <v>1685</v>
      </c>
      <c r="I3" s="127" t="s">
        <v>1703</v>
      </c>
      <c r="J3" s="127" t="s">
        <v>1685</v>
      </c>
      <c r="K3" s="137" t="s">
        <v>1704</v>
      </c>
      <c r="L3" s="199"/>
    </row>
    <row r="4" spans="1:12" x14ac:dyDescent="0.25">
      <c r="A4" s="140">
        <v>1</v>
      </c>
      <c r="B4" s="141" t="s">
        <v>54</v>
      </c>
      <c r="C4" s="129">
        <f t="shared" ref="C4:C18" si="0">D4+E4+H4+I4+J4+K4</f>
        <v>0</v>
      </c>
      <c r="D4" s="129">
        <f>COUNTIFS('жами банкоматлар 2025'!$E:$E,$B4,'жами банкоматлар 2025'!$I:$I,"UzCard",'жами банкоматлар 2025'!$G:$G,"NCR 6623")+COUNTIFS('жами банкоматлар 2025'!$E:$E,$B4,'жами банкоматлар 2025'!$I:$I,"UzCard",'жами банкоматлар 2025'!$G:$G,"NCR 6622")</f>
        <v>0</v>
      </c>
      <c r="E4" s="129">
        <f>COUNTIFS('жами банкоматлар 2025'!$E:$E,$B4,'жами банкоматлар 2025'!$I:$I,"UzCard",'жами банкоматлар 2025'!$G:$G,"CINEO C2070")+COUNTIFS('жами банкоматлар 2025'!$E:$E,$B4,'жами банкоматлар 2025'!$I:$I,"UzCard",'жами банкоматлар 2025'!$G:$G,"CINEO C4560")</f>
        <v>0</v>
      </c>
      <c r="F4" s="150">
        <v>7</v>
      </c>
      <c r="G4" s="150">
        <v>0</v>
      </c>
      <c r="H4" s="129">
        <f>COUNTIFS('жами банкоматлар 2025'!$E:$E,$B4,'жами банкоматлар 2025'!$I:$I,"Humo",'жами банкоматлар 2025'!$G:$G,"NCR 6623")+COUNTIFS('жами банкоматлар 2025'!$E:$E,$B4,'жами банкоматлар 2025'!$I:$I,"Humo",'жами банкоматлар 2025'!$G:$G,"CINEO C2040")</f>
        <v>0</v>
      </c>
      <c r="I4" s="165">
        <f>COUNTIFS('жами банкоматлар 2025'!$E:$E,$B4,'жами банкоматлар 2025'!$I:$I,"Humo",'жами банкоматлар 2025'!$G:$G,"NCR 6682")+COUNTIFS('жами банкоматлар 2025'!$E:$E,$B4,'жами банкоматлар 2025'!$I:$I,"Humo",'жами банкоматлар 2025'!$G:$G,"CINEO C2070")+COUNTIFS('жами банкоматлар 2025'!$E:$E,$B4,'жами банкоматлар 2025'!$I:$I,"Humo",'жами банкоматлар 2025'!$G:$G,"GRG P5800")</f>
        <v>0</v>
      </c>
      <c r="J4" s="166">
        <f>COUNTIFS('жами банкоматлар 2025'!$E:$E,$B4,'жами банкоматлар 2025'!$I:$I,"WAY4",'жами банкоматлар 2025'!$G:$G,"NCR 6623")</f>
        <v>0</v>
      </c>
      <c r="K4" s="142">
        <f>COUNTIFS('жами банкоматлар 2025'!$E:$E,$B4,'жами банкоматлар 2025'!$I:$I,"WAY4",'жами банкоматлар 2025'!$G:$G,"NCR 6682")+COUNTIFS('жами банкоматлар 2025'!$E:$E,$B4,'жами банкоматлар 2025'!$I:$I,"WAY4",'жами банкоматлар 2025'!$G:$G,"CINEO C2070")+COUNTIFS('жами банкоматлар 2025'!$E:$E,$B4,'жами банкоматлар 2025'!$I:$I,"WAY4",'жами банкоматлар 2025'!$G:$G,"GRG P5800")</f>
        <v>0</v>
      </c>
      <c r="L4" s="143">
        <f>COUNTIFS(Инфокиоски!$E:$E,$B4,Инфокиоски!$D:$D,"Touchplat")+COUNTIFS(Инфокиоски!$E:$E,$B4,Инфокиоски!$D:$D,"Optimal")</f>
        <v>12</v>
      </c>
    </row>
    <row r="5" spans="1:12" x14ac:dyDescent="0.25">
      <c r="A5" s="132">
        <v>2</v>
      </c>
      <c r="B5" s="134" t="s">
        <v>16</v>
      </c>
      <c r="C5" s="128">
        <f t="shared" si="0"/>
        <v>1</v>
      </c>
      <c r="D5" s="128">
        <f>COUNTIFS('жами банкоматлар 2025'!$E:$E,$B5,'жами банкоматлар 2025'!$I:$I,"UzCard",'жами банкоматлар 2025'!$G:$G,"NCR 6623")+COUNTIFS('жами банкоматлар 2025'!$E:$E,$B5,'жами банкоматлар 2025'!$I:$I,"UzCard",'жами банкоматлар 2025'!$G:$G,"NCR 6622")</f>
        <v>1</v>
      </c>
      <c r="E5" s="128">
        <f>COUNTIFS('жами банкоматлар 2025'!$E:$E,$B5,'жами банкоматлар 2025'!$I:$I,"UzCard",'жами банкоматлар 2025'!$G:$G,"CINEO C2070")+COUNTIFS('жами банкоматлар 2025'!$E:$E,$B5,'жами банкоматлар 2025'!$I:$I,"UzCard",'жами банкоматлар 2025'!$G:$G,"CINEO C4560")</f>
        <v>0</v>
      </c>
      <c r="F5" s="131">
        <v>10</v>
      </c>
      <c r="G5" s="131">
        <v>0</v>
      </c>
      <c r="H5" s="128">
        <f>COUNTIFS('жами банкоматлар 2025'!$E:$E,$B5,'жами банкоматлар 2025'!$I:$I,"Humo",'жами банкоматлар 2025'!$G:$G,"NCR 6623")+COUNTIFS('жами банкоматлар 2025'!$E:$E,$B5,'жами банкоматлар 2025'!$I:$I,"Humo",'жами банкоматлар 2025'!$G:$G,"CINEO C2040")</f>
        <v>0</v>
      </c>
      <c r="I5" s="167">
        <f>COUNTIFS('жами банкоматлар 2025'!$E:$E,$B5,'жами банкоматлар 2025'!$I:$I,"Humo",'жами банкоматлар 2025'!$G:$G,"NCR 6682")+COUNTIFS('жами банкоматлар 2025'!$E:$E,$B5,'жами банкоматлар 2025'!$I:$I,"Humo",'жами банкоматлар 2025'!$G:$G,"CINEO C2070")+COUNTIFS('жами банкоматлар 2025'!$E:$E,$B5,'жами банкоматлар 2025'!$I:$I,"Humo",'жами банкоматлар 2025'!$G:$G,"GRG P5800")</f>
        <v>0</v>
      </c>
      <c r="J5" s="168">
        <f>COUNTIFS('жами банкоматлар 2025'!$E:$E,$B5,'жами банкоматлар 2025'!$I:$I,"WAY4",'жами банкоматлар 2025'!$G:$G,"NCR 6623")</f>
        <v>0</v>
      </c>
      <c r="K5" s="136">
        <f>COUNTIFS('жами банкоматлар 2025'!$E:$E,$B5,'жами банкоматлар 2025'!$I:$I,"WAY4",'жами банкоматлар 2025'!$G:$G,"NCR 6682")+COUNTIFS('жами банкоматлар 2025'!$E:$E,$B5,'жами банкоматлар 2025'!$I:$I,"WAY4",'жами банкоматлар 2025'!$G:$G,"CINEO C2070")+COUNTIFS('жами банкоматлар 2025'!$E:$E,$B5,'жами банкоматлар 2025'!$I:$I,"WAY4",'жами банкоматлар 2025'!$G:$G,"GRG P5800")</f>
        <v>0</v>
      </c>
      <c r="L5" s="144">
        <f>COUNTIFS(Инфокиоски!$E:$E,$B5,Инфокиоски!$D:$D,"Touchplat")+COUNTIFS(Инфокиоски!$E:$E,$B5,Инфокиоски!$D:$D,"Optimal")</f>
        <v>10</v>
      </c>
    </row>
    <row r="6" spans="1:12" x14ac:dyDescent="0.25">
      <c r="A6" s="132">
        <v>3</v>
      </c>
      <c r="B6" s="134" t="s">
        <v>28</v>
      </c>
      <c r="C6" s="128">
        <f t="shared" si="0"/>
        <v>0</v>
      </c>
      <c r="D6" s="128">
        <f>COUNTIFS('жами банкоматлар 2025'!$E:$E,$B6,'жами банкоматлар 2025'!$I:$I,"UzCard",'жами банкоматлар 2025'!$G:$G,"NCR 6623")+COUNTIFS('жами банкоматлар 2025'!$E:$E,$B6,'жами банкоматлар 2025'!$I:$I,"UzCard",'жами банкоматлар 2025'!$G:$G,"NCR 6622")</f>
        <v>0</v>
      </c>
      <c r="E6" s="128">
        <f>COUNTIFS('жами банкоматлар 2025'!$E:$E,$B6,'жами банкоматлар 2025'!$I:$I,"UzCard",'жами банкоматлар 2025'!$G:$G,"CINEO C2070")+COUNTIFS('жами банкоматлар 2025'!$E:$E,$B6,'жами банкоматлар 2025'!$I:$I,"UzCard",'жами банкоматлар 2025'!$G:$G,"CINEO C4560")</f>
        <v>0</v>
      </c>
      <c r="F6" s="131">
        <v>10</v>
      </c>
      <c r="G6" s="131">
        <v>0</v>
      </c>
      <c r="H6" s="128">
        <f>COUNTIFS('жами банкоматлар 2025'!$E:$E,$B6,'жами банкоматлар 2025'!$I:$I,"Humo",'жами банкоматлар 2025'!$G:$G,"NCR 6623")+COUNTIFS('жами банкоматлар 2025'!$E:$E,$B6,'жами банкоматлар 2025'!$I:$I,"Humo",'жами банкоматлар 2025'!$G:$G,"CINEO C2040")</f>
        <v>0</v>
      </c>
      <c r="I6" s="167">
        <f>COUNTIFS('жами банкоматлар 2025'!$E:$E,$B6,'жами банкоматлар 2025'!$I:$I,"Humo",'жами банкоматлар 2025'!$G:$G,"NCR 6682")+COUNTIFS('жами банкоматлар 2025'!$E:$E,$B6,'жами банкоматлар 2025'!$I:$I,"Humo",'жами банкоматлар 2025'!$G:$G,"CINEO C2070")+COUNTIFS('жами банкоматлар 2025'!$E:$E,$B6,'жами банкоматлар 2025'!$I:$I,"Humo",'жами банкоматлар 2025'!$G:$G,"GRG P5800")</f>
        <v>0</v>
      </c>
      <c r="J6" s="168">
        <f>COUNTIFS('жами банкоматлар 2025'!$E:$E,$B6,'жами банкоматлар 2025'!$I:$I,"WAY4",'жами банкоматлар 2025'!$G:$G,"NCR 6623")</f>
        <v>0</v>
      </c>
      <c r="K6" s="136">
        <f>COUNTIFS('жами банкоматлар 2025'!$E:$E,$B6,'жами банкоматлар 2025'!$I:$I,"WAY4",'жами банкоматлар 2025'!$G:$G,"NCR 6682")+COUNTIFS('жами банкоматлар 2025'!$E:$E,$B6,'жами банкоматлар 2025'!$I:$I,"WAY4",'жами банкоматлар 2025'!$G:$G,"CINEO C2070")+COUNTIFS('жами банкоматлар 2025'!$E:$E,$B6,'жами банкоматлар 2025'!$I:$I,"WAY4",'жами банкоматлар 2025'!$G:$G,"GRG P5800")</f>
        <v>0</v>
      </c>
      <c r="L6" s="144">
        <f>COUNTIFS(Инфокиоски!$E:$E,$B6,Инфокиоски!$D:$D,"Touchplat")+COUNTIFS(Инфокиоски!$E:$E,$B6,Инфокиоски!$D:$D,"Optimal")</f>
        <v>6</v>
      </c>
    </row>
    <row r="7" spans="1:12" x14ac:dyDescent="0.25">
      <c r="A7" s="132">
        <v>4</v>
      </c>
      <c r="B7" s="134" t="s">
        <v>506</v>
      </c>
      <c r="C7" s="128">
        <f t="shared" si="0"/>
        <v>0</v>
      </c>
      <c r="D7" s="128">
        <f>COUNTIFS('жами банкоматлар 2025'!$E:$E,$B7,'жами банкоматлар 2025'!$I:$I,"UzCard",'жами банкоматлар 2025'!$G:$G,"NCR 6623")+COUNTIFS('жами банкоматлар 2025'!$E:$E,$B7,'жами банкоматлар 2025'!$I:$I,"UzCard",'жами банкоматлар 2025'!$G:$G,"NCR 6622")</f>
        <v>0</v>
      </c>
      <c r="E7" s="128">
        <f>COUNTIFS('жами банкоматлар 2025'!$E:$E,$B7,'жами банкоматлар 2025'!$I:$I,"UzCard",'жами банкоматлар 2025'!$G:$G,"CINEO C2070")+COUNTIFS('жами банкоматлар 2025'!$E:$E,$B7,'жами банкоматлар 2025'!$I:$I,"UzCard",'жами банкоматлар 2025'!$G:$G,"CINEO C4560")</f>
        <v>0</v>
      </c>
      <c r="F7" s="131">
        <v>5</v>
      </c>
      <c r="G7" s="131">
        <v>0</v>
      </c>
      <c r="H7" s="128">
        <f>COUNTIFS('жами банкоматлар 2025'!$E:$E,$B7,'жами банкоматлар 2025'!$I:$I,"Humo",'жами банкоматлар 2025'!$G:$G,"NCR 6623")+COUNTIFS('жами банкоматлар 2025'!$E:$E,$B7,'жами банкоматлар 2025'!$I:$I,"Humo",'жами банкоматлар 2025'!$G:$G,"CINEO C2040")</f>
        <v>0</v>
      </c>
      <c r="I7" s="167">
        <f>COUNTIFS('жами банкоматлар 2025'!$E:$E,$B7,'жами банкоматлар 2025'!$I:$I,"Humo",'жами банкоматлар 2025'!$G:$G,"NCR 6682")+COUNTIFS('жами банкоматлар 2025'!$E:$E,$B7,'жами банкоматлар 2025'!$I:$I,"Humo",'жами банкоматлар 2025'!$G:$G,"CINEO C2070")+COUNTIFS('жами банкоматлар 2025'!$E:$E,$B7,'жами банкоматлар 2025'!$I:$I,"Humo",'жами банкоматлар 2025'!$G:$G,"GRG P5800")</f>
        <v>0</v>
      </c>
      <c r="J7" s="168">
        <f>COUNTIFS('жами банкоматлар 2025'!$E:$E,$B7,'жами банкоматлар 2025'!$I:$I,"WAY4",'жами банкоматлар 2025'!$G:$G,"NCR 6623")</f>
        <v>0</v>
      </c>
      <c r="K7" s="136">
        <f>COUNTIFS('жами банкоматлар 2025'!$E:$E,$B7,'жами банкоматлар 2025'!$I:$I,"WAY4",'жами банкоматлар 2025'!$G:$G,"NCR 6682")+COUNTIFS('жами банкоматлар 2025'!$E:$E,$B7,'жами банкоматлар 2025'!$I:$I,"WAY4",'жами банкоматлар 2025'!$G:$G,"CINEO C2070")+COUNTIFS('жами банкоматлар 2025'!$E:$E,$B7,'жами банкоматлар 2025'!$I:$I,"WAY4",'жами банкоматлар 2025'!$G:$G,"GRG P5800")</f>
        <v>0</v>
      </c>
      <c r="L7" s="144">
        <f>COUNTIFS(Инфокиоски!$E:$E,$B7,Инфокиоски!$D:$D,"Touchplat")+COUNTIFS(Инфокиоски!$E:$E,$B7,Инфокиоски!$D:$D,"Optimal")</f>
        <v>2</v>
      </c>
    </row>
    <row r="8" spans="1:12" x14ac:dyDescent="0.25">
      <c r="A8" s="132">
        <v>5</v>
      </c>
      <c r="B8" s="134" t="s">
        <v>32</v>
      </c>
      <c r="C8" s="128">
        <f t="shared" si="0"/>
        <v>0</v>
      </c>
      <c r="D8" s="128">
        <f>COUNTIFS('жами банкоматлар 2025'!$E:$E,$B8,'жами банкоматлар 2025'!$I:$I,"UzCard",'жами банкоматлар 2025'!$G:$G,"NCR 6623")+COUNTIFS('жами банкоматлар 2025'!$E:$E,$B8,'жами банкоматлар 2025'!$I:$I,"UzCard",'жами банкоматлар 2025'!$G:$G,"NCR 6622")</f>
        <v>0</v>
      </c>
      <c r="E8" s="128">
        <f>COUNTIFS('жами банкоматлар 2025'!$E:$E,$B8,'жами банкоматлар 2025'!$I:$I,"UzCard",'жами банкоматлар 2025'!$G:$G,"CINEO C2070")+COUNTIFS('жами банкоматлар 2025'!$E:$E,$B8,'жами банкоматлар 2025'!$I:$I,"UzCard",'жами банкоматлар 2025'!$G:$G,"CINEO C4560")</f>
        <v>0</v>
      </c>
      <c r="F8" s="131">
        <v>8</v>
      </c>
      <c r="G8" s="131">
        <v>0</v>
      </c>
      <c r="H8" s="128">
        <f>COUNTIFS('жами банкоматлар 2025'!$E:$E,$B8,'жами банкоматлар 2025'!$I:$I,"Humo",'жами банкоматлар 2025'!$G:$G,"NCR 6623")+COUNTIFS('жами банкоматлар 2025'!$E:$E,$B8,'жами банкоматлар 2025'!$I:$I,"Humo",'жами банкоматлар 2025'!$G:$G,"CINEO C2040")</f>
        <v>0</v>
      </c>
      <c r="I8" s="167">
        <f>COUNTIFS('жами банкоматлар 2025'!$E:$E,$B8,'жами банкоматлар 2025'!$I:$I,"Humo",'жами банкоматлар 2025'!$G:$G,"NCR 6682")+COUNTIFS('жами банкоматлар 2025'!$E:$E,$B8,'жами банкоматлар 2025'!$I:$I,"Humo",'жами банкоматлар 2025'!$G:$G,"CINEO C2070")+COUNTIFS('жами банкоматлар 2025'!$E:$E,$B8,'жами банкоматлар 2025'!$I:$I,"Humo",'жами банкоматлар 2025'!$G:$G,"GRG P5800")</f>
        <v>0</v>
      </c>
      <c r="J8" s="168">
        <f>COUNTIFS('жами банкоматлар 2025'!$E:$E,$B8,'жами банкоматлар 2025'!$I:$I,"WAY4",'жами банкоматлар 2025'!$G:$G,"NCR 6623")</f>
        <v>0</v>
      </c>
      <c r="K8" s="136">
        <f>COUNTIFS('жами банкоматлар 2025'!$E:$E,$B8,'жами банкоматлар 2025'!$I:$I,"WAY4",'жами банкоматлар 2025'!$G:$G,"NCR 6682")+COUNTIFS('жами банкоматлар 2025'!$E:$E,$B8,'жами банкоматлар 2025'!$I:$I,"WAY4",'жами банкоматлар 2025'!$G:$G,"CINEO C2070")+COUNTIFS('жами банкоматлар 2025'!$E:$E,$B8,'жами банкоматлар 2025'!$I:$I,"WAY4",'жами банкоматлар 2025'!$G:$G,"GRG P5800")</f>
        <v>0</v>
      </c>
      <c r="L8" s="144">
        <f>COUNTIFS(Инфокиоски!$E:$E,$B8,Инфокиоски!$D:$D,"Touchplat")+COUNTIFS(Инфокиоски!$E:$E,$B8,Инфокиоски!$D:$D,"Optimal")</f>
        <v>12</v>
      </c>
    </row>
    <row r="9" spans="1:12" x14ac:dyDescent="0.25">
      <c r="A9" s="132">
        <v>6</v>
      </c>
      <c r="B9" s="134" t="s">
        <v>507</v>
      </c>
      <c r="C9" s="128">
        <f t="shared" si="0"/>
        <v>0</v>
      </c>
      <c r="D9" s="128">
        <f>COUNTIFS('жами банкоматлар 2025'!$E:$E,$B9,'жами банкоматлар 2025'!$I:$I,"UzCard",'жами банкоматлар 2025'!$G:$G,"NCR 6623")+COUNTIFS('жами банкоматлар 2025'!$E:$E,$B9,'жами банкоматлар 2025'!$I:$I,"UzCard",'жами банкоматлар 2025'!$G:$G,"NCR 6622")</f>
        <v>0</v>
      </c>
      <c r="E9" s="131">
        <f>COUNTIFS('жами банкоматлар 2025'!$E:$E,$B9,'жами банкоматлар 2025'!$I:$I,"UzCard",'жами банкоматлар 2025'!$G:$G,"CINEO C2070")+COUNTIFS('жами банкоматлар 2025'!$E:$E,$B9,'жами банкоматлар 2025'!$I:$I,"UzCard",'жами банкоматлар 2025'!$G:$G,"NCR 6682")</f>
        <v>0</v>
      </c>
      <c r="F9" s="131">
        <v>7</v>
      </c>
      <c r="G9" s="131">
        <v>0</v>
      </c>
      <c r="H9" s="128">
        <f>COUNTIFS('жами банкоматлар 2025'!$E:$E,$B9,'жами банкоматлар 2025'!$I:$I,"Humo",'жами банкоматлар 2025'!$G:$G,"NCR 6623")+COUNTIFS('жами банкоматлар 2025'!$E:$E,$B9,'жами банкоматлар 2025'!$I:$I,"Humo",'жами банкоматлар 2025'!$G:$G,"CINEO C2040")</f>
        <v>0</v>
      </c>
      <c r="I9" s="167">
        <f>COUNTIFS('жами банкоматлар 2025'!$E:$E,$B9,'жами банкоматлар 2025'!$I:$I,"Humo",'жами банкоматлар 2025'!$G:$G,"NCR 6682")+COUNTIFS('жами банкоматлар 2025'!$E:$E,$B9,'жами банкоматлар 2025'!$I:$I,"Humo",'жами банкоматлар 2025'!$G:$G,"CINEO C2070")+COUNTIFS('жами банкоматлар 2025'!$E:$E,$B9,'жами банкоматлар 2025'!$I:$I,"Humo",'жами банкоматлар 2025'!$G:$G,"GRG P5800")</f>
        <v>0</v>
      </c>
      <c r="J9" s="168">
        <f>COUNTIFS('жами банкоматлар 2025'!$E:$E,$B9,'жами банкоматлар 2025'!$I:$I,"WAY4",'жами банкоматлар 2025'!$G:$G,"NCR 6623")</f>
        <v>0</v>
      </c>
      <c r="K9" s="136">
        <f>COUNTIFS('жами банкоматлар 2025'!$E:$E,$B9,'жами банкоматлар 2025'!$I:$I,"WAY4",'жами банкоматлар 2025'!$G:$G,"NCR 6682")+COUNTIFS('жами банкоматлар 2025'!$E:$E,$B9,'жами банкоматлар 2025'!$I:$I,"WAY4",'жами банкоматлар 2025'!$G:$G,"CINEO C2070")+COUNTIFS('жами банкоматлар 2025'!$E:$E,$B9,'жами банкоматлар 2025'!$I:$I,"WAY4",'жами банкоматлар 2025'!$G:$G,"GRG P5800")</f>
        <v>0</v>
      </c>
      <c r="L9" s="144">
        <f>COUNTIFS(Инфокиоски!$E:$E,$B9,Инфокиоски!$D:$D,"Touchplat")+COUNTIFS(Инфокиоски!$E:$E,$B9,Инфокиоски!$D:$D,"Optimal")</f>
        <v>4</v>
      </c>
    </row>
    <row r="10" spans="1:12" x14ac:dyDescent="0.25">
      <c r="A10" s="132">
        <v>7</v>
      </c>
      <c r="B10" s="134" t="s">
        <v>117</v>
      </c>
      <c r="C10" s="128">
        <f t="shared" si="0"/>
        <v>0</v>
      </c>
      <c r="D10" s="128">
        <f>COUNTIFS('жами банкоматлар 2025'!$E:$E,$B10,'жами банкоматлар 2025'!$I:$I,"UzCard",'жами банкоматлар 2025'!$G:$G,"NCR 6623")+COUNTIFS('жами банкоматлар 2025'!$E:$E,$B10,'жами банкоматлар 2025'!$I:$I,"UzCard",'жами банкоматлар 2025'!$G:$G,"NCR 6622")</f>
        <v>0</v>
      </c>
      <c r="E10" s="128">
        <f>COUNTIFS('жами банкоматлар 2025'!$E:$E,$B10,'жами банкоматлар 2025'!$I:$I,"UzCard",'жами банкоматлар 2025'!$G:$G,"CINEO C2070")+COUNTIFS('жами банкоматлар 2025'!$E:$E,$B10,'жами банкоматлар 2025'!$I:$I,"UzCard",'жами банкоматлар 2025'!$G:$G,"CINEO C4560")</f>
        <v>0</v>
      </c>
      <c r="F10" s="131">
        <v>5</v>
      </c>
      <c r="G10" s="131">
        <v>0</v>
      </c>
      <c r="H10" s="128">
        <f>COUNTIFS('жами банкоматлар 2025'!$E:$E,$B10,'жами банкоматлар 2025'!$I:$I,"Humo",'жами банкоматлар 2025'!$G:$G,"NCR 6623")+COUNTIFS('жами банкоматлар 2025'!$E:$E,$B10,'жами банкоматлар 2025'!$I:$I,"Humo",'жами банкоматлар 2025'!$G:$G,"CINEO C2040")</f>
        <v>0</v>
      </c>
      <c r="I10" s="167">
        <f>COUNTIFS('жами банкоматлар 2025'!$E:$E,$B10,'жами банкоматлар 2025'!$I:$I,"Humo",'жами банкоматлар 2025'!$G:$G,"NCR 6682")+COUNTIFS('жами банкоматлар 2025'!$E:$E,$B10,'жами банкоматлар 2025'!$I:$I,"Humo",'жами банкоматлар 2025'!$G:$G,"CINEO C2070")+COUNTIFS('жами банкоматлар 2025'!$E:$E,$B10,'жами банкоматлар 2025'!$I:$I,"Humo",'жами банкоматлар 2025'!$G:$G,"GRG P5800")</f>
        <v>0</v>
      </c>
      <c r="J10" s="168">
        <f>COUNTIFS('жами банкоматлар 2025'!$E:$E,$B10,'жами банкоматлар 2025'!$I:$I,"WAY4",'жами банкоматлар 2025'!$G:$G,"NCR 6623")</f>
        <v>0</v>
      </c>
      <c r="K10" s="136">
        <f>COUNTIFS('жами банкоматлар 2025'!$E:$E,$B10,'жами банкоматлар 2025'!$I:$I,"WAY4",'жами банкоматлар 2025'!$G:$G,"NCR 6682")+COUNTIFS('жами банкоматлар 2025'!$E:$E,$B10,'жами банкоматлар 2025'!$I:$I,"WAY4",'жами банкоматлар 2025'!$G:$G,"CINEO C2070")+COUNTIFS('жами банкоматлар 2025'!$E:$E,$B10,'жами банкоматлар 2025'!$I:$I,"WAY4",'жами банкоматлар 2025'!$G:$G,"GRG P5800")</f>
        <v>0</v>
      </c>
      <c r="L10" s="144">
        <f>COUNTIFS(Инфокиоски!$E:$E,$B10,Инфокиоски!$D:$D,"Touchplat")+COUNTIFS(Инфокиоски!$E:$E,$B10,Инфокиоски!$D:$D,"Optimal")</f>
        <v>4</v>
      </c>
    </row>
    <row r="11" spans="1:12" x14ac:dyDescent="0.25">
      <c r="A11" s="132">
        <v>8</v>
      </c>
      <c r="B11" s="134" t="s">
        <v>508</v>
      </c>
      <c r="C11" s="128">
        <f t="shared" si="0"/>
        <v>0</v>
      </c>
      <c r="D11" s="128">
        <f>COUNTIFS('жами банкоматлар 2025'!$E:$E,$B11,'жами банкоматлар 2025'!$I:$I,"UzCard",'жами банкоматлар 2025'!$G:$G,"NCR 6623")+COUNTIFS('жами банкоматлар 2025'!$E:$E,$B11,'жами банкоматлар 2025'!$I:$I,"UzCard",'жами банкоматлар 2025'!$G:$G,"NCR 6622")</f>
        <v>0</v>
      </c>
      <c r="E11" s="128">
        <f>COUNTIFS('жами банкоматлар 2025'!$E:$E,$B11,'жами банкоматлар 2025'!$I:$I,"UzCard",'жами банкоматлар 2025'!$G:$G,"CINEO C2070")+COUNTIFS('жами банкоматлар 2025'!$E:$E,$B11,'жами банкоматлар 2025'!$I:$I,"UzCard",'жами банкоматлар 2025'!$G:$G,"CINEO C4560")</f>
        <v>0</v>
      </c>
      <c r="F11" s="131">
        <v>3</v>
      </c>
      <c r="G11" s="131">
        <v>0</v>
      </c>
      <c r="H11" s="128">
        <f>COUNTIFS('жами банкоматлар 2025'!$E:$E,$B11,'жами банкоматлар 2025'!$I:$I,"Humo",'жами банкоматлар 2025'!$G:$G,"NCR 6623")+COUNTIFS('жами банкоматлар 2025'!$E:$E,$B11,'жами банкоматлар 2025'!$I:$I,"Humo",'жами банкоматлар 2025'!$G:$G,"CINEO C2040")</f>
        <v>0</v>
      </c>
      <c r="I11" s="167">
        <f>COUNTIFS('жами банкоматлар 2025'!$E:$E,$B11,'жами банкоматлар 2025'!$I:$I,"Humo",'жами банкоматлар 2025'!$G:$G,"NCR 6682")+COUNTIFS('жами банкоматлар 2025'!$E:$E,$B11,'жами банкоматлар 2025'!$I:$I,"Humo",'жами банкоматлар 2025'!$G:$G,"CINEO C2070")+COUNTIFS('жами банкоматлар 2025'!$E:$E,$B11,'жами банкоматлар 2025'!$I:$I,"Humo",'жами банкоматлар 2025'!$G:$G,"GRG P5800")</f>
        <v>0</v>
      </c>
      <c r="J11" s="168">
        <f>COUNTIFS('жами банкоматлар 2025'!$E:$E,$B11,'жами банкоматлар 2025'!$I:$I,"WAY4",'жами банкоматлар 2025'!$G:$G,"NCR 6623")</f>
        <v>0</v>
      </c>
      <c r="K11" s="136">
        <f>COUNTIFS('жами банкоматлар 2025'!$E:$E,$B11,'жами банкоматлар 2025'!$I:$I,"WAY4",'жами банкоматлар 2025'!$G:$G,"NCR 6682")+COUNTIFS('жами банкоматлар 2025'!$E:$E,$B11,'жами банкоматлар 2025'!$I:$I,"WAY4",'жами банкоматлар 2025'!$G:$G,"CINEO C2070")+COUNTIFS('жами банкоматлар 2025'!$E:$E,$B11,'жами банкоматлар 2025'!$I:$I,"WAY4",'жами банкоматлар 2025'!$G:$G,"GRG P5800")</f>
        <v>0</v>
      </c>
      <c r="L11" s="144">
        <f>COUNTIFS(Инфокиоски!$E:$E,$B11,Инфокиоски!$D:$D,"Touchplat")+COUNTIFS(Инфокиоски!$E:$E,$B11,Инфокиоски!$D:$D,"Optimal")</f>
        <v>2</v>
      </c>
    </row>
    <row r="12" spans="1:12" x14ac:dyDescent="0.25">
      <c r="A12" s="132">
        <v>9</v>
      </c>
      <c r="B12" s="134" t="s">
        <v>509</v>
      </c>
      <c r="C12" s="128">
        <f t="shared" si="0"/>
        <v>0</v>
      </c>
      <c r="D12" s="128">
        <f>COUNTIFS('жами банкоматлар 2025'!$E:$E,$B12,'жами банкоматлар 2025'!$I:$I,"UzCard",'жами банкоматлар 2025'!$G:$G,"NCR 6623")+COUNTIFS('жами банкоматлар 2025'!$E:$E,$B12,'жами банкоматлар 2025'!$I:$I,"UzCard",'жами банкоматлар 2025'!$G:$G,"NCR 6622")</f>
        <v>0</v>
      </c>
      <c r="E12" s="128">
        <f>COUNTIFS('жами банкоматлар 2025'!$E:$E,$B12,'жами банкоматлар 2025'!$I:$I,"UzCard",'жами банкоматлар 2025'!$G:$G,"CINEO C2070")+COUNTIFS('жами банкоматлар 2025'!$E:$E,$B12,'жами банкоматлар 2025'!$I:$I,"UzCard",'жами банкоматлар 2025'!$G:$G,"CINEO C4560")</f>
        <v>0</v>
      </c>
      <c r="F12" s="131">
        <v>4</v>
      </c>
      <c r="G12" s="131">
        <v>0</v>
      </c>
      <c r="H12" s="128">
        <f>COUNTIFS('жами банкоматлар 2025'!$E:$E,$B12,'жами банкоматлар 2025'!$I:$I,"Humo",'жами банкоматлар 2025'!$G:$G,"NCR 6623")+COUNTIFS('жами банкоматлар 2025'!$E:$E,$B12,'жами банкоматлар 2025'!$I:$I,"Humo",'жами банкоматлар 2025'!$G:$G,"CINEO C2040")</f>
        <v>0</v>
      </c>
      <c r="I12" s="167">
        <f>COUNTIFS('жами банкоматлар 2025'!$E:$E,$B12,'жами банкоматлар 2025'!$I:$I,"Humo",'жами банкоматлар 2025'!$G:$G,"NCR 6682")+COUNTIFS('жами банкоматлар 2025'!$E:$E,$B12,'жами банкоматлар 2025'!$I:$I,"Humo",'жами банкоматлар 2025'!$G:$G,"CINEO C2070")+COUNTIFS('жами банкоматлар 2025'!$E:$E,$B12,'жами банкоматлар 2025'!$I:$I,"Humo",'жами банкоматлар 2025'!$G:$G,"GRG P5800")</f>
        <v>0</v>
      </c>
      <c r="J12" s="168">
        <f>COUNTIFS('жами банкоматлар 2025'!$E:$E,$B12,'жами банкоматлар 2025'!$I:$I,"WAY4",'жами банкоматлар 2025'!$G:$G,"NCR 6623")</f>
        <v>0</v>
      </c>
      <c r="K12" s="136">
        <f>COUNTIFS('жами банкоматлар 2025'!$E:$E,$B12,'жами банкоматлар 2025'!$I:$I,"WAY4",'жами банкоматлар 2025'!$G:$G,"NCR 6682")+COUNTIFS('жами банкоматлар 2025'!$E:$E,$B12,'жами банкоматлар 2025'!$I:$I,"WAY4",'жами банкоматлар 2025'!$G:$G,"CINEO C2070")+COUNTIFS('жами банкоматлар 2025'!$E:$E,$B12,'жами банкоматлар 2025'!$I:$I,"WAY4",'жами банкоматлар 2025'!$G:$G,"GRG P5800")</f>
        <v>0</v>
      </c>
      <c r="L12" s="144">
        <f>COUNTIFS(Инфокиоски!$E:$E,$B12,Инфокиоски!$D:$D,"Touchplat")+COUNTIFS(Инфокиоски!$E:$E,$B12,Инфокиоски!$D:$D,"Optimal")</f>
        <v>3</v>
      </c>
    </row>
    <row r="13" spans="1:12" x14ac:dyDescent="0.25">
      <c r="A13" s="132">
        <v>10</v>
      </c>
      <c r="B13" s="134" t="s">
        <v>42</v>
      </c>
      <c r="C13" s="128">
        <f t="shared" si="0"/>
        <v>0</v>
      </c>
      <c r="D13" s="128">
        <f>COUNTIFS('жами банкоматлар 2025'!$E:$E,$B13,'жами банкоматлар 2025'!$I:$I,"UzCard",'жами банкоматлар 2025'!$G:$G,"NCR 6623")+COUNTIFS('жами банкоматлар 2025'!$E:$E,$B13,'жами банкоматлар 2025'!$I:$I,"UzCard",'жами банкоматлар 2025'!$G:$G,"NCR 6622")</f>
        <v>0</v>
      </c>
      <c r="E13" s="128">
        <f>COUNTIFS('жами банкоматлар 2025'!$E:$E,$B13,'жами банкоматлар 2025'!$I:$I,"UzCard",'жами банкоматлар 2025'!$G:$G,"CINEO C2070")+COUNTIFS('жами банкоматлар 2025'!$E:$E,$B13,'жами банкоматлар 2025'!$I:$I,"UzCard",'жами банкоматлар 2025'!$G:$G,"CINEO C4560")</f>
        <v>0</v>
      </c>
      <c r="F13" s="131">
        <v>7</v>
      </c>
      <c r="G13" s="131">
        <v>0</v>
      </c>
      <c r="H13" s="128">
        <f>COUNTIFS('жами банкоматлар 2025'!$E:$E,$B13,'жами банкоматлар 2025'!$I:$I,"Humo",'жами банкоматлар 2025'!$G:$G,"NCR 6623")+COUNTIFS('жами банкоматлар 2025'!$E:$E,$B13,'жами банкоматлар 2025'!$I:$I,"Humo",'жами банкоматлар 2025'!$G:$G,"CINEO C2040")</f>
        <v>0</v>
      </c>
      <c r="I13" s="167">
        <f>COUNTIFS('жами банкоматлар 2025'!$E:$E,$B13,'жами банкоматлар 2025'!$I:$I,"Humo",'жами банкоматлар 2025'!$G:$G,"NCR 6682")+COUNTIFS('жами банкоматлар 2025'!$E:$E,$B13,'жами банкоматлар 2025'!$I:$I,"Humo",'жами банкоматлар 2025'!$G:$G,"CINEO C2070")+COUNTIFS('жами банкоматлар 2025'!$E:$E,$B13,'жами банкоматлар 2025'!$I:$I,"Humo",'жами банкоматлар 2025'!$G:$G,"GRG P5800")</f>
        <v>0</v>
      </c>
      <c r="J13" s="168">
        <f>COUNTIFS('жами банкоматлар 2025'!$E:$E,$B13,'жами банкоматлар 2025'!$I:$I,"WAY4",'жами банкоматлар 2025'!$G:$G,"NCR 6623")</f>
        <v>0</v>
      </c>
      <c r="K13" s="136">
        <f>COUNTIFS('жами банкоматлар 2025'!$E:$E,$B13,'жами банкоматлар 2025'!$I:$I,"WAY4",'жами банкоматлар 2025'!$G:$G,"NCR 6682")+COUNTIFS('жами банкоматлар 2025'!$E:$E,$B13,'жами банкоматлар 2025'!$I:$I,"WAY4",'жами банкоматлар 2025'!$G:$G,"CINEO C2070")+COUNTIFS('жами банкоматлар 2025'!$E:$E,$B13,'жами банкоматлар 2025'!$I:$I,"WAY4",'жами банкоматлар 2025'!$G:$G,"GRG P5800")</f>
        <v>0</v>
      </c>
      <c r="L13" s="144">
        <f>COUNTIFS(Инфокиоски!$E:$E,$B13,Инфокиоски!$D:$D,"Touchplat")+COUNTIFS(Инфокиоски!$E:$E,$B13,Инфокиоски!$D:$D,"Optimal")</f>
        <v>7</v>
      </c>
    </row>
    <row r="14" spans="1:12" x14ac:dyDescent="0.25">
      <c r="A14" s="132">
        <v>11</v>
      </c>
      <c r="B14" s="134" t="s">
        <v>77</v>
      </c>
      <c r="C14" s="128">
        <f t="shared" si="0"/>
        <v>0</v>
      </c>
      <c r="D14" s="128">
        <f>COUNTIFS('жами банкоматлар 2025'!$E:$E,$B14,'жами банкоматлар 2025'!$I:$I,"UzCard",'жами банкоматлар 2025'!$G:$G,"NCR 6623")+COUNTIFS('жами банкоматлар 2025'!$E:$E,$B14,'жами банкоматлар 2025'!$I:$I,"UzCard",'жами банкоматлар 2025'!$G:$G,"NCR 6622")</f>
        <v>0</v>
      </c>
      <c r="E14" s="128">
        <f>COUNTIFS('жами банкоматлар 2025'!$E:$E,$B14,'жами банкоматлар 2025'!$I:$I,"UzCard",'жами банкоматлар 2025'!$G:$G,"CINEO C2070")+COUNTIFS('жами банкоматлар 2025'!$E:$E,$B14,'жами банкоматлар 2025'!$I:$I,"UzCard",'жами банкоматлар 2025'!$G:$G,"CINEO C4560")</f>
        <v>0</v>
      </c>
      <c r="F14" s="131">
        <v>20</v>
      </c>
      <c r="G14" s="131">
        <v>0</v>
      </c>
      <c r="H14" s="128">
        <f>COUNTIFS('жами банкоматлар 2025'!$E:$E,$B14,'жами банкоматлар 2025'!$I:$I,"Humo",'жами банкоматлар 2025'!$G:$G,"NCR 6623")+COUNTIFS('жами банкоматлар 2025'!$E:$E,$B14,'жами банкоматлар 2025'!$I:$I,"Humo",'жами банкоматлар 2025'!$G:$G,"CINEO C2040")</f>
        <v>0</v>
      </c>
      <c r="I14" s="167">
        <f>COUNTIFS('жами банкоматлар 2025'!$E:$E,$B14,'жами банкоматлар 2025'!$I:$I,"Humo",'жами банкоматлар 2025'!$G:$G,"NCR 6682")+COUNTIFS('жами банкоматлар 2025'!$E:$E,$B14,'жами банкоматлар 2025'!$I:$I,"Humo",'жами банкоматлар 2025'!$G:$G,"CINEO C2070")+COUNTIFS('жами банкоматлар 2025'!$E:$E,$B14,'жами банкоматлар 2025'!$I:$I,"Humo",'жами банкоматлар 2025'!$G:$G,"GRG P5800")</f>
        <v>0</v>
      </c>
      <c r="J14" s="168">
        <f>COUNTIFS('жами банкоматлар 2025'!$E:$E,$B14,'жами банкоматлар 2025'!$I:$I,"WAY4",'жами банкоматлар 2025'!$G:$G,"NCR 6623")</f>
        <v>0</v>
      </c>
      <c r="K14" s="136">
        <f>COUNTIFS('жами банкоматлар 2025'!$E:$E,$B14,'жами банкоматлар 2025'!$I:$I,"WAY4",'жами банкоматлар 2025'!$G:$G,"NCR 6682")+COUNTIFS('жами банкоматлар 2025'!$E:$E,$B14,'жами банкоматлар 2025'!$I:$I,"WAY4",'жами банкоматлар 2025'!$G:$G,"CINEO C2070")+COUNTIFS('жами банкоматлар 2025'!$E:$E,$B14,'жами банкоматлар 2025'!$I:$I,"WAY4",'жами банкоматлар 2025'!$G:$G,"GRG P5800")</f>
        <v>0</v>
      </c>
      <c r="L14" s="144">
        <f>COUNTIFS(Инфокиоски!$E:$E,$B14,Инфокиоски!$D:$D,"Touchplat")+COUNTIFS(Инфокиоски!$E:$E,$B14,Инфокиоски!$D:$D,"Optimal")</f>
        <v>19</v>
      </c>
    </row>
    <row r="15" spans="1:12" x14ac:dyDescent="0.25">
      <c r="A15" s="132">
        <v>12</v>
      </c>
      <c r="B15" s="134" t="s">
        <v>45</v>
      </c>
      <c r="C15" s="128">
        <f t="shared" si="0"/>
        <v>0</v>
      </c>
      <c r="D15" s="128">
        <f>COUNTIFS('жами банкоматлар 2025'!$E:$E,$B15,'жами банкоматлар 2025'!$I:$I,"UzCard",'жами банкоматлар 2025'!$G:$G,"NCR 6623")+COUNTIFS('жами банкоматлар 2025'!$E:$E,$B15,'жами банкоматлар 2025'!$I:$I,"UzCard",'жами банкоматлар 2025'!$G:$G,"NCR 6622")</f>
        <v>0</v>
      </c>
      <c r="E15" s="128">
        <f>COUNTIFS('жами банкоматлар 2025'!$E:$E,$B15,'жами банкоматлар 2025'!$I:$I,"UzCard",'жами банкоматлар 2025'!$G:$G,"CINEO C2070")+COUNTIFS('жами банкоматлар 2025'!$E:$E,$B15,'жами банкоматлар 2025'!$I:$I,"UzCard",'жами банкоматлар 2025'!$G:$G,"CINEO C4560")</f>
        <v>0</v>
      </c>
      <c r="F15" s="131">
        <v>17</v>
      </c>
      <c r="G15" s="131">
        <v>0</v>
      </c>
      <c r="H15" s="128">
        <f>COUNTIFS('жами банкоматлар 2025'!$E:$E,$B15,'жами банкоматлар 2025'!$I:$I,"Humo",'жами банкоматлар 2025'!$G:$G,"NCR 6623")+COUNTIFS('жами банкоматлар 2025'!$E:$E,$B15,'жами банкоматлар 2025'!$I:$I,"Humo",'жами банкоматлар 2025'!$G:$G,"CINEO C2040")</f>
        <v>0</v>
      </c>
      <c r="I15" s="167">
        <f>COUNTIFS('жами банкоматлар 2025'!$E:$E,$B15,'жами банкоматлар 2025'!$I:$I,"Humo",'жами банкоматлар 2025'!$G:$G,"NCR 6682")+COUNTIFS('жами банкоматлар 2025'!$E:$E,$B15,'жами банкоматлар 2025'!$I:$I,"Humo",'жами банкоматлар 2025'!$G:$G,"CINEO C2070")+COUNTIFS('жами банкоматлар 2025'!$E:$E,$B15,'жами банкоматлар 2025'!$I:$I,"Humo",'жами банкоматлар 2025'!$G:$G,"GRG P5800")</f>
        <v>0</v>
      </c>
      <c r="J15" s="168">
        <f>COUNTIFS('жами банкоматлар 2025'!$E:$E,$B15,'жами банкоматлар 2025'!$I:$I,"WAY4",'жами банкоматлар 2025'!$G:$G,"NCR 6623")</f>
        <v>0</v>
      </c>
      <c r="K15" s="136">
        <f>COUNTIFS('жами банкоматлар 2025'!$E:$E,$B15,'жами банкоматлар 2025'!$I:$I,"WAY4",'жами банкоматлар 2025'!$G:$G,"NCR 6682")+COUNTIFS('жами банкоматлар 2025'!$E:$E,$B15,'жами банкоматлар 2025'!$I:$I,"WAY4",'жами банкоматлар 2025'!$G:$G,"CINEO C2070")+COUNTIFS('жами банкоматлар 2025'!$E:$E,$B15,'жами банкоматлар 2025'!$I:$I,"WAY4",'жами банкоматлар 2025'!$G:$G,"GRG P5800")</f>
        <v>0</v>
      </c>
      <c r="L15" s="144">
        <f>COUNTIFS(Инфокиоски!$E:$E,$B15,Инфокиоски!$D:$D,"Touchplat")+COUNTIFS(Инфокиоски!$E:$E,$B15,Инфокиоски!$D:$D,"Optimal")</f>
        <v>15</v>
      </c>
    </row>
    <row r="16" spans="1:12" x14ac:dyDescent="0.25">
      <c r="A16" s="132">
        <v>13</v>
      </c>
      <c r="B16" s="134" t="s">
        <v>510</v>
      </c>
      <c r="C16" s="128">
        <f t="shared" si="0"/>
        <v>0</v>
      </c>
      <c r="D16" s="128">
        <f>COUNTIFS('жами банкоматлар 2025'!$E:$E,$B16,'жами банкоматлар 2025'!$I:$I,"UzCard",'жами банкоматлар 2025'!$G:$G,"NCR 6623")+COUNTIFS('жами банкоматлар 2025'!$E:$E,$B16,'жами банкоматлар 2025'!$I:$I,"UzCard",'жами банкоматлар 2025'!$G:$G,"NCR 6622")</f>
        <v>0</v>
      </c>
      <c r="E16" s="128">
        <f>COUNTIFS('жами банкоматлар 2025'!$E:$E,$B16,'жами банкоматлар 2025'!$I:$I,"UzCard",'жами банкоматлар 2025'!$G:$G,"CINEO C2070")+COUNTIFS('жами банкоматлар 2025'!$E:$E,$B16,'жами банкоматлар 2025'!$I:$I,"UzCard",'жами банкоматлар 2025'!$G:$G,"CINEO C4560")</f>
        <v>0</v>
      </c>
      <c r="F16" s="131">
        <v>6</v>
      </c>
      <c r="G16" s="131">
        <v>0</v>
      </c>
      <c r="H16" s="128">
        <f>COUNTIFS('жами банкоматлар 2025'!$E:$E,$B16,'жами банкоматлар 2025'!$I:$I,"Humo",'жами банкоматлар 2025'!$G:$G,"NCR 6623")+COUNTIFS('жами банкоматлар 2025'!$E:$E,$B16,'жами банкоматлар 2025'!$I:$I,"Humo",'жами банкоматлар 2025'!$G:$G,"CINEO C2040")</f>
        <v>0</v>
      </c>
      <c r="I16" s="167">
        <f>COUNTIFS('жами банкоматлар 2025'!$E:$E,$B16,'жами банкоматлар 2025'!$I:$I,"Humo",'жами банкоматлар 2025'!$G:$G,"NCR 6682")+COUNTIFS('жами банкоматлар 2025'!$E:$E,$B16,'жами банкоматлар 2025'!$I:$I,"Humo",'жами банкоматлар 2025'!$G:$G,"CINEO C2070")+COUNTIFS('жами банкоматлар 2025'!$E:$E,$B16,'жами банкоматлар 2025'!$I:$I,"Humo",'жами банкоматлар 2025'!$G:$G,"GRG P5800")</f>
        <v>0</v>
      </c>
      <c r="J16" s="168">
        <f>COUNTIFS('жами банкоматлар 2025'!$E:$E,$B16,'жами банкоматлар 2025'!$I:$I,"WAY4",'жами банкоматлар 2025'!$G:$G,"NCR 6623")</f>
        <v>0</v>
      </c>
      <c r="K16" s="136">
        <f>COUNTIFS('жами банкоматлар 2025'!$E:$E,$B16,'жами банкоматлар 2025'!$I:$I,"WAY4",'жами банкоматлар 2025'!$G:$G,"NCR 6682")+COUNTIFS('жами банкоматлар 2025'!$E:$E,$B16,'жами банкоматлар 2025'!$I:$I,"WAY4",'жами банкоматлар 2025'!$G:$G,"CINEO C2070")+COUNTIFS('жами банкоматлар 2025'!$E:$E,$B16,'жами банкоматлар 2025'!$I:$I,"WAY4",'жами банкоматлар 2025'!$G:$G,"GRG P5800")</f>
        <v>0</v>
      </c>
      <c r="L16" s="144">
        <f>COUNTIFS(Инфокиоски!$E:$E,$B16,Инфокиоски!$D:$D,"Touchplat")+COUNTIFS(Инфокиоски!$E:$E,$B16,Инфокиоски!$D:$D,"Optimal")</f>
        <v>1</v>
      </c>
    </row>
    <row r="17" spans="1:12" ht="15.75" thickBot="1" x14ac:dyDescent="0.3">
      <c r="A17" s="133">
        <v>14</v>
      </c>
      <c r="B17" s="135" t="s">
        <v>131</v>
      </c>
      <c r="C17" s="128">
        <f t="shared" si="0"/>
        <v>0</v>
      </c>
      <c r="D17" s="128">
        <f>COUNTIFS('жами банкоматлар 2025'!$E:$E,$B17,'жами банкоматлар 2025'!$I:$I,"UzCard",'жами банкоматлар 2025'!$G:$G,"NCR 6623")+COUNTIFS('жами банкоматлар 2025'!$E:$E,$B17,'жами банкоматлар 2025'!$I:$I,"UzCard",'жами банкоматлар 2025'!$G:$G,"NCR 6622")</f>
        <v>0</v>
      </c>
      <c r="E17" s="128">
        <f>COUNTIFS('жами банкоматлар 2025'!$E:$E,$B17,'жами банкоматлар 2025'!$I:$I,"UzCard",'жами банкоматлар 2025'!$G:$G,"CINEO C2070")+COUNTIFS('жами банкоматлар 2025'!$E:$E,$B17,'жами банкоматлар 2025'!$I:$I,"UzCard",'жами банкоматлар 2025'!$G:$G,"CINEO C4560")</f>
        <v>0</v>
      </c>
      <c r="F17" s="131">
        <v>48</v>
      </c>
      <c r="G17" s="131">
        <v>21</v>
      </c>
      <c r="H17" s="128">
        <f>COUNTIFS('жами банкоматлар 2025'!$E:$E,$B17,'жами банкоматлар 2025'!$I:$I,"Humo",'жами банкоматлар 2025'!$G:$G,"NCR 6623")+COUNTIFS('жами банкоматлар 2025'!$E:$E,$B17,'жами банкоматлар 2025'!$I:$I,"Humo",'жами банкоматлар 2025'!$G:$G,"CINEO C2040")</f>
        <v>0</v>
      </c>
      <c r="I17" s="128">
        <f>COUNTIFS('жами банкоматлар 2025'!$E:$E,$B17,'жами банкоматлар 2025'!$I:$I,"Humo",'жами банкоматлар 2025'!$G:$G,"NCR 6682")+COUNTIFS('жами банкоматлар 2025'!$E:$E,$B17,'жами банкоматлар 2025'!$I:$I,"Humo",'жами банкоматлар 2025'!$G:$G,"CINEO C2070")+COUNTIFS('жами банкоматлар 2025'!$E:$E,$B17,'жами банкоматлар 2025'!$I:$I,"Humo",'жами банкоматлар 2025'!$G:$G,"GRG P5800")</f>
        <v>0</v>
      </c>
      <c r="J17" s="131">
        <f>COUNTIFS('жами банкоматлар 2025'!$E:$E,$B17,'жами банкоматлар 2025'!$I:$I,"WAY4",'жами банкоматлар 2025'!$G:$G,"NCR 6623")</f>
        <v>0</v>
      </c>
      <c r="K17" s="136">
        <f>COUNTIFS('жами банкоматлар 2025'!$E:$E,$B17,'жами банкоматлар 2025'!$I:$I,"WAY4",'жами банкоматлар 2025'!$G:$G,"NCR 6682")+COUNTIFS('жами банкоматлар 2025'!$E:$E,$B17,'жами банкоматлар 2025'!$I:$I,"WAY4",'жами банкоматлар 2025'!$G:$G,"CINEO C2070")+COUNTIFS('жами банкоматлар 2025'!$E:$E,$B17,'жами банкоматлар 2025'!$I:$I,"WAY4",'жами банкоматлар 2025'!$G:$G,"GRG P5800")</f>
        <v>0</v>
      </c>
      <c r="L17" s="144">
        <f>COUNTIFS(Инфокиоски!$E:$E,$B17,Инфокиоски!$D:$D,"Touchplat")+COUNTIFS(Инфокиоски!$E:$E,$B17,Инфокиоски!$D:$D,"Optimal")</f>
        <v>31</v>
      </c>
    </row>
    <row r="18" spans="1:12" ht="17.25" thickBot="1" x14ac:dyDescent="0.3">
      <c r="A18" s="195" t="s">
        <v>1681</v>
      </c>
      <c r="B18" s="196"/>
      <c r="C18" s="130">
        <f t="shared" si="0"/>
        <v>1</v>
      </c>
      <c r="D18" s="130">
        <f t="shared" ref="D18:K18" si="1">SUM(D4:D17)</f>
        <v>1</v>
      </c>
      <c r="E18" s="130">
        <f t="shared" si="1"/>
        <v>0</v>
      </c>
      <c r="F18" s="130">
        <f t="shared" si="1"/>
        <v>157</v>
      </c>
      <c r="G18" s="130">
        <f t="shared" si="1"/>
        <v>21</v>
      </c>
      <c r="H18" s="130">
        <f t="shared" si="1"/>
        <v>0</v>
      </c>
      <c r="I18" s="130">
        <f t="shared" si="1"/>
        <v>0</v>
      </c>
      <c r="J18" s="130">
        <f t="shared" si="1"/>
        <v>0</v>
      </c>
      <c r="K18" s="130">
        <f t="shared" si="1"/>
        <v>0</v>
      </c>
      <c r="L18" s="139">
        <f>SUM(L4:L17)</f>
        <v>128</v>
      </c>
    </row>
  </sheetData>
  <mergeCells count="9">
    <mergeCell ref="A18:B18"/>
    <mergeCell ref="L1:L3"/>
    <mergeCell ref="J2:K2"/>
    <mergeCell ref="A1:A3"/>
    <mergeCell ref="B1:B3"/>
    <mergeCell ref="C1:C3"/>
    <mergeCell ref="D1:K1"/>
    <mergeCell ref="H2:I2"/>
    <mergeCell ref="D2:G2"/>
  </mergeCells>
  <pageMargins left="0.47" right="0.27" top="0.74803149606299213" bottom="0.74803149606299213" header="0.31496062992125984" footer="0.31496062992125984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0"/>
  <sheetViews>
    <sheetView zoomScale="85" zoomScaleNormal="85" workbookViewId="0">
      <selection activeCell="C6" sqref="C6"/>
    </sheetView>
  </sheetViews>
  <sheetFormatPr defaultRowHeight="15" x14ac:dyDescent="0.25"/>
  <cols>
    <col min="1" max="1" width="4.42578125" bestFit="1" customWidth="1"/>
    <col min="2" max="2" width="10.7109375" bestFit="1" customWidth="1"/>
    <col min="3" max="3" width="50.5703125" bestFit="1" customWidth="1"/>
    <col min="4" max="4" width="15.42578125" bestFit="1" customWidth="1"/>
    <col min="5" max="5" width="30" bestFit="1" customWidth="1"/>
    <col min="6" max="6" width="8.7109375" bestFit="1" customWidth="1"/>
    <col min="7" max="7" width="11.28515625" bestFit="1" customWidth="1"/>
    <col min="8" max="8" width="12.5703125" bestFit="1" customWidth="1"/>
    <col min="9" max="10" width="12.42578125" bestFit="1" customWidth="1"/>
    <col min="11" max="11" width="75" bestFit="1" customWidth="1"/>
    <col min="12" max="12" width="46" customWidth="1"/>
    <col min="13" max="14" width="11.140625" bestFit="1" customWidth="1"/>
  </cols>
  <sheetData>
    <row r="1" spans="1:18" ht="15.75" thickBot="1" x14ac:dyDescent="0.3">
      <c r="A1" s="6"/>
      <c r="B1" s="214" t="s">
        <v>966</v>
      </c>
      <c r="C1" s="214"/>
      <c r="D1" s="6"/>
      <c r="E1" s="6"/>
      <c r="F1" s="6" t="s">
        <v>967</v>
      </c>
      <c r="G1" s="6"/>
      <c r="H1" s="6"/>
      <c r="I1" s="7"/>
      <c r="J1" s="7"/>
      <c r="K1" s="6"/>
      <c r="L1" s="5"/>
      <c r="M1" s="2"/>
      <c r="N1" s="2"/>
    </row>
    <row r="2" spans="1:18" ht="43.5" thickBot="1" x14ac:dyDescent="0.3">
      <c r="A2" s="89" t="s">
        <v>0</v>
      </c>
      <c r="B2" s="89" t="s">
        <v>968</v>
      </c>
      <c r="C2" s="89" t="s">
        <v>969</v>
      </c>
      <c r="D2" s="89" t="s">
        <v>970</v>
      </c>
      <c r="E2" s="89" t="s">
        <v>971</v>
      </c>
      <c r="F2" s="90" t="s">
        <v>972</v>
      </c>
      <c r="G2" s="89" t="s">
        <v>973</v>
      </c>
      <c r="H2" s="89" t="s">
        <v>974</v>
      </c>
      <c r="I2" s="89" t="s">
        <v>975</v>
      </c>
      <c r="J2" s="89" t="s">
        <v>975</v>
      </c>
      <c r="K2" s="89" t="s">
        <v>976</v>
      </c>
      <c r="L2" s="89" t="s">
        <v>977</v>
      </c>
      <c r="M2" s="91" t="s">
        <v>18</v>
      </c>
      <c r="N2" s="92" t="s">
        <v>17</v>
      </c>
    </row>
    <row r="3" spans="1:18" ht="15.75" customHeight="1" x14ac:dyDescent="0.25">
      <c r="A3" s="93">
        <v>1</v>
      </c>
      <c r="B3" s="94" t="s">
        <v>13</v>
      </c>
      <c r="C3" s="94" t="s">
        <v>978</v>
      </c>
      <c r="D3" s="94" t="s">
        <v>979</v>
      </c>
      <c r="E3" s="94" t="s">
        <v>16</v>
      </c>
      <c r="F3" s="94" t="s">
        <v>980</v>
      </c>
      <c r="G3" s="95" t="s">
        <v>981</v>
      </c>
      <c r="H3" s="94" t="s">
        <v>982</v>
      </c>
      <c r="I3" s="94" t="s">
        <v>983</v>
      </c>
      <c r="J3" s="96">
        <v>9005650</v>
      </c>
      <c r="K3" s="97" t="s">
        <v>462</v>
      </c>
      <c r="L3" s="97" t="s">
        <v>505</v>
      </c>
      <c r="M3" s="98" t="s">
        <v>984</v>
      </c>
      <c r="N3" s="98" t="s">
        <v>985</v>
      </c>
    </row>
    <row r="4" spans="1:18" ht="15.75" customHeight="1" x14ac:dyDescent="0.25">
      <c r="A4" s="84">
        <v>2</v>
      </c>
      <c r="B4" s="99" t="s">
        <v>13</v>
      </c>
      <c r="C4" s="94" t="s">
        <v>978</v>
      </c>
      <c r="D4" s="99" t="s">
        <v>979</v>
      </c>
      <c r="E4" s="94" t="s">
        <v>16</v>
      </c>
      <c r="F4" s="99" t="s">
        <v>986</v>
      </c>
      <c r="G4" s="100" t="s">
        <v>987</v>
      </c>
      <c r="H4" s="99" t="s">
        <v>982</v>
      </c>
      <c r="I4" s="99" t="s">
        <v>988</v>
      </c>
      <c r="J4" s="101">
        <v>9005651</v>
      </c>
      <c r="K4" s="99" t="s">
        <v>989</v>
      </c>
      <c r="L4" s="99" t="s">
        <v>19</v>
      </c>
      <c r="M4" s="79" t="s">
        <v>984</v>
      </c>
      <c r="N4" s="79" t="s">
        <v>985</v>
      </c>
    </row>
    <row r="5" spans="1:18" ht="15.75" customHeight="1" x14ac:dyDescent="0.25">
      <c r="A5" s="93">
        <v>3</v>
      </c>
      <c r="B5" s="99" t="s">
        <v>25</v>
      </c>
      <c r="C5" s="99" t="s">
        <v>1001</v>
      </c>
      <c r="D5" s="99" t="s">
        <v>990</v>
      </c>
      <c r="E5" s="94" t="s">
        <v>16</v>
      </c>
      <c r="F5" s="99" t="s">
        <v>991</v>
      </c>
      <c r="G5" s="100" t="s">
        <v>992</v>
      </c>
      <c r="H5" s="99" t="s">
        <v>1004</v>
      </c>
      <c r="I5" s="99" t="s">
        <v>1751</v>
      </c>
      <c r="J5" s="101"/>
      <c r="K5" s="99" t="s">
        <v>993</v>
      </c>
      <c r="L5" s="99" t="s">
        <v>994</v>
      </c>
      <c r="M5" s="79" t="s">
        <v>760</v>
      </c>
      <c r="N5" s="79" t="s">
        <v>470</v>
      </c>
    </row>
    <row r="6" spans="1:18" ht="15.75" customHeight="1" x14ac:dyDescent="0.25">
      <c r="A6" s="84">
        <v>4</v>
      </c>
      <c r="B6" s="99" t="s">
        <v>25</v>
      </c>
      <c r="C6" s="99" t="s">
        <v>1001</v>
      </c>
      <c r="D6" s="99" t="s">
        <v>990</v>
      </c>
      <c r="E6" s="94" t="s">
        <v>16</v>
      </c>
      <c r="F6" s="99" t="s">
        <v>995</v>
      </c>
      <c r="G6" s="100" t="s">
        <v>996</v>
      </c>
      <c r="H6" s="99" t="s">
        <v>1004</v>
      </c>
      <c r="I6" s="99" t="s">
        <v>1752</v>
      </c>
      <c r="J6" s="101"/>
      <c r="K6" s="83" t="s">
        <v>997</v>
      </c>
      <c r="L6" s="87" t="s">
        <v>556</v>
      </c>
      <c r="M6" s="79" t="s">
        <v>469</v>
      </c>
      <c r="N6" s="79" t="s">
        <v>468</v>
      </c>
    </row>
    <row r="7" spans="1:18" ht="15.75" customHeight="1" x14ac:dyDescent="0.25">
      <c r="A7" s="93">
        <v>5</v>
      </c>
      <c r="B7" s="99" t="s">
        <v>25</v>
      </c>
      <c r="C7" s="99" t="s">
        <v>1001</v>
      </c>
      <c r="D7" s="99" t="s">
        <v>979</v>
      </c>
      <c r="E7" s="94" t="s">
        <v>16</v>
      </c>
      <c r="F7" s="99" t="s">
        <v>998</v>
      </c>
      <c r="G7" s="102" t="s">
        <v>999</v>
      </c>
      <c r="H7" s="99" t="s">
        <v>1004</v>
      </c>
      <c r="I7" s="99" t="s">
        <v>1750</v>
      </c>
      <c r="J7" s="101">
        <v>9005647</v>
      </c>
      <c r="K7" s="99" t="s">
        <v>1000</v>
      </c>
      <c r="L7" s="99" t="s">
        <v>19</v>
      </c>
      <c r="M7" s="79" t="s">
        <v>466</v>
      </c>
      <c r="N7" s="79" t="s">
        <v>465</v>
      </c>
      <c r="R7" s="138"/>
    </row>
    <row r="8" spans="1:18" ht="15.75" customHeight="1" x14ac:dyDescent="0.25">
      <c r="A8" s="84">
        <v>6</v>
      </c>
      <c r="B8" s="99" t="s">
        <v>25</v>
      </c>
      <c r="C8" s="99" t="s">
        <v>1001</v>
      </c>
      <c r="D8" s="99" t="s">
        <v>990</v>
      </c>
      <c r="E8" s="94" t="s">
        <v>16</v>
      </c>
      <c r="F8" s="99" t="s">
        <v>1002</v>
      </c>
      <c r="G8" s="102" t="s">
        <v>1003</v>
      </c>
      <c r="H8" s="99" t="s">
        <v>1004</v>
      </c>
      <c r="I8" s="99" t="s">
        <v>1005</v>
      </c>
      <c r="J8" s="101"/>
      <c r="K8" s="83" t="s">
        <v>1006</v>
      </c>
      <c r="L8" s="87" t="s">
        <v>1007</v>
      </c>
      <c r="M8" s="79" t="s">
        <v>1008</v>
      </c>
      <c r="N8" s="79" t="s">
        <v>1009</v>
      </c>
    </row>
    <row r="9" spans="1:18" ht="15.75" customHeight="1" x14ac:dyDescent="0.25">
      <c r="A9" s="93">
        <v>7</v>
      </c>
      <c r="B9" s="99" t="s">
        <v>25</v>
      </c>
      <c r="C9" s="99" t="s">
        <v>1001</v>
      </c>
      <c r="D9" s="99" t="s">
        <v>990</v>
      </c>
      <c r="E9" s="94" t="s">
        <v>16</v>
      </c>
      <c r="F9" s="99" t="s">
        <v>1010</v>
      </c>
      <c r="G9" s="102" t="s">
        <v>1011</v>
      </c>
      <c r="H9" s="99" t="s">
        <v>1004</v>
      </c>
      <c r="I9" s="99" t="s">
        <v>1012</v>
      </c>
      <c r="J9" s="101"/>
      <c r="K9" s="83" t="s">
        <v>1013</v>
      </c>
      <c r="L9" s="87" t="s">
        <v>732</v>
      </c>
      <c r="M9" s="84" t="s">
        <v>864</v>
      </c>
      <c r="N9" s="85" t="s">
        <v>865</v>
      </c>
    </row>
    <row r="10" spans="1:18" ht="15.75" customHeight="1" x14ac:dyDescent="0.25">
      <c r="A10" s="84">
        <v>8</v>
      </c>
      <c r="B10" s="99" t="s">
        <v>25</v>
      </c>
      <c r="C10" s="99" t="s">
        <v>1001</v>
      </c>
      <c r="D10" s="99" t="s">
        <v>979</v>
      </c>
      <c r="E10" s="94" t="s">
        <v>16</v>
      </c>
      <c r="F10" s="99" t="s">
        <v>1014</v>
      </c>
      <c r="G10" s="100" t="s">
        <v>1015</v>
      </c>
      <c r="H10" s="99" t="s">
        <v>1004</v>
      </c>
      <c r="I10" s="99" t="s">
        <v>1016</v>
      </c>
      <c r="J10" s="101">
        <v>9005652</v>
      </c>
      <c r="K10" s="83" t="s">
        <v>1017</v>
      </c>
      <c r="L10" s="87" t="s">
        <v>1018</v>
      </c>
      <c r="M10" s="79" t="s">
        <v>1019</v>
      </c>
      <c r="N10" s="79" t="s">
        <v>1020</v>
      </c>
    </row>
    <row r="11" spans="1:18" ht="15.75" customHeight="1" x14ac:dyDescent="0.25">
      <c r="A11" s="93">
        <v>9</v>
      </c>
      <c r="B11" s="99" t="s">
        <v>25</v>
      </c>
      <c r="C11" s="99" t="s">
        <v>1001</v>
      </c>
      <c r="D11" s="99" t="s">
        <v>979</v>
      </c>
      <c r="E11" s="94" t="s">
        <v>16</v>
      </c>
      <c r="F11" s="99" t="s">
        <v>1021</v>
      </c>
      <c r="G11" s="102" t="s">
        <v>1022</v>
      </c>
      <c r="H11" s="77" t="s">
        <v>1004</v>
      </c>
      <c r="I11" s="77" t="s">
        <v>1023</v>
      </c>
      <c r="J11" s="103">
        <v>9005653</v>
      </c>
      <c r="K11" s="83" t="s">
        <v>1017</v>
      </c>
      <c r="L11" s="87" t="s">
        <v>1018</v>
      </c>
      <c r="M11" s="79" t="s">
        <v>1019</v>
      </c>
      <c r="N11" s="79" t="s">
        <v>1020</v>
      </c>
    </row>
    <row r="12" spans="1:18" ht="15.75" customHeight="1" x14ac:dyDescent="0.25">
      <c r="A12" s="84">
        <v>10</v>
      </c>
      <c r="B12" s="99" t="s">
        <v>25</v>
      </c>
      <c r="C12" s="99" t="s">
        <v>1001</v>
      </c>
      <c r="D12" s="99" t="s">
        <v>979</v>
      </c>
      <c r="E12" s="94" t="s">
        <v>16</v>
      </c>
      <c r="F12" s="99" t="s">
        <v>1024</v>
      </c>
      <c r="G12" s="102" t="s">
        <v>1025</v>
      </c>
      <c r="H12" s="77" t="s">
        <v>1004</v>
      </c>
      <c r="I12" s="77" t="s">
        <v>1026</v>
      </c>
      <c r="J12" s="103">
        <v>9005654</v>
      </c>
      <c r="K12" s="83" t="s">
        <v>1027</v>
      </c>
      <c r="L12" s="77" t="s">
        <v>1028</v>
      </c>
      <c r="M12" s="83" t="s">
        <v>1029</v>
      </c>
      <c r="N12" s="85" t="s">
        <v>1030</v>
      </c>
    </row>
    <row r="13" spans="1:18" ht="15.75" customHeight="1" x14ac:dyDescent="0.25">
      <c r="A13" s="93">
        <v>11</v>
      </c>
      <c r="B13" s="99" t="s">
        <v>26</v>
      </c>
      <c r="C13" s="99" t="s">
        <v>1031</v>
      </c>
      <c r="D13" s="99" t="s">
        <v>979</v>
      </c>
      <c r="E13" s="99" t="s">
        <v>28</v>
      </c>
      <c r="F13" s="99" t="s">
        <v>1032</v>
      </c>
      <c r="G13" s="100" t="s">
        <v>1033</v>
      </c>
      <c r="H13" s="99" t="s">
        <v>1034</v>
      </c>
      <c r="I13" s="99" t="s">
        <v>1035</v>
      </c>
      <c r="J13" s="101">
        <v>9005656</v>
      </c>
      <c r="K13" s="83" t="s">
        <v>1036</v>
      </c>
      <c r="L13" s="99" t="s">
        <v>1037</v>
      </c>
      <c r="M13" s="79" t="s">
        <v>1038</v>
      </c>
      <c r="N13" s="79" t="s">
        <v>1039</v>
      </c>
    </row>
    <row r="14" spans="1:18" ht="15.75" customHeight="1" x14ac:dyDescent="0.25">
      <c r="A14" s="84">
        <v>12</v>
      </c>
      <c r="B14" s="99" t="s">
        <v>72</v>
      </c>
      <c r="C14" s="99" t="s">
        <v>1736</v>
      </c>
      <c r="D14" s="99" t="s">
        <v>979</v>
      </c>
      <c r="E14" s="99" t="s">
        <v>28</v>
      </c>
      <c r="F14" s="99" t="s">
        <v>1040</v>
      </c>
      <c r="G14" s="100" t="s">
        <v>1041</v>
      </c>
      <c r="H14" s="85">
        <v>900381781</v>
      </c>
      <c r="I14" s="85">
        <v>95001962</v>
      </c>
      <c r="J14" s="101">
        <v>9005658</v>
      </c>
      <c r="K14" s="99" t="s">
        <v>1042</v>
      </c>
      <c r="L14" s="99" t="s">
        <v>822</v>
      </c>
      <c r="M14" s="79" t="s">
        <v>1043</v>
      </c>
      <c r="N14" s="79" t="s">
        <v>1044</v>
      </c>
    </row>
    <row r="15" spans="1:18" ht="15.75" customHeight="1" x14ac:dyDescent="0.25">
      <c r="A15" s="93">
        <v>13</v>
      </c>
      <c r="B15" s="99" t="s">
        <v>26</v>
      </c>
      <c r="C15" s="99" t="s">
        <v>1031</v>
      </c>
      <c r="D15" s="99" t="s">
        <v>979</v>
      </c>
      <c r="E15" s="99" t="s">
        <v>28</v>
      </c>
      <c r="F15" s="99" t="s">
        <v>1045</v>
      </c>
      <c r="G15" s="100" t="s">
        <v>1046</v>
      </c>
      <c r="H15" s="99" t="s">
        <v>1034</v>
      </c>
      <c r="I15" s="99" t="s">
        <v>1047</v>
      </c>
      <c r="J15" s="101">
        <v>9005657</v>
      </c>
      <c r="K15" s="99" t="s">
        <v>1048</v>
      </c>
      <c r="L15" s="99" t="s">
        <v>19</v>
      </c>
      <c r="M15" s="79" t="s">
        <v>1038</v>
      </c>
      <c r="N15" s="79" t="s">
        <v>1039</v>
      </c>
    </row>
    <row r="16" spans="1:18" ht="15.75" customHeight="1" x14ac:dyDescent="0.25">
      <c r="A16" s="84">
        <v>14</v>
      </c>
      <c r="B16" s="99" t="s">
        <v>72</v>
      </c>
      <c r="C16" s="99" t="s">
        <v>1736</v>
      </c>
      <c r="D16" s="99" t="s">
        <v>979</v>
      </c>
      <c r="E16" s="99" t="s">
        <v>28</v>
      </c>
      <c r="F16" s="99" t="s">
        <v>1049</v>
      </c>
      <c r="G16" s="100" t="s">
        <v>1050</v>
      </c>
      <c r="H16" s="85">
        <v>900381781</v>
      </c>
      <c r="I16" s="189">
        <v>95001960</v>
      </c>
      <c r="J16" s="101">
        <v>9005655</v>
      </c>
      <c r="K16" s="99" t="s">
        <v>1051</v>
      </c>
      <c r="L16" s="99" t="s">
        <v>1052</v>
      </c>
      <c r="M16" s="84" t="s">
        <v>1053</v>
      </c>
      <c r="N16" s="84" t="s">
        <v>1054</v>
      </c>
    </row>
    <row r="17" spans="1:14" ht="15.75" customHeight="1" x14ac:dyDescent="0.25">
      <c r="A17" s="93">
        <v>15</v>
      </c>
      <c r="B17" s="99" t="s">
        <v>164</v>
      </c>
      <c r="C17" s="99" t="s">
        <v>1055</v>
      </c>
      <c r="D17" s="99" t="s">
        <v>979</v>
      </c>
      <c r="E17" s="99" t="s">
        <v>32</v>
      </c>
      <c r="F17" s="99" t="s">
        <v>1056</v>
      </c>
      <c r="G17" s="100" t="s">
        <v>1057</v>
      </c>
      <c r="H17" s="99" t="s">
        <v>1058</v>
      </c>
      <c r="I17" s="99" t="s">
        <v>1059</v>
      </c>
      <c r="J17" s="101">
        <v>9005692</v>
      </c>
      <c r="K17" s="99" t="s">
        <v>1060</v>
      </c>
      <c r="L17" s="99" t="s">
        <v>1061</v>
      </c>
      <c r="M17" s="78" t="s">
        <v>852</v>
      </c>
      <c r="N17" s="78" t="s">
        <v>853</v>
      </c>
    </row>
    <row r="18" spans="1:14" ht="15.75" customHeight="1" x14ac:dyDescent="0.25">
      <c r="A18" s="84">
        <v>16</v>
      </c>
      <c r="B18" s="99" t="s">
        <v>164</v>
      </c>
      <c r="C18" s="99" t="s">
        <v>1055</v>
      </c>
      <c r="D18" s="99" t="s">
        <v>979</v>
      </c>
      <c r="E18" s="99" t="s">
        <v>32</v>
      </c>
      <c r="F18" s="99" t="s">
        <v>1062</v>
      </c>
      <c r="G18" s="100" t="s">
        <v>1063</v>
      </c>
      <c r="H18" s="99" t="s">
        <v>1058</v>
      </c>
      <c r="I18" s="99" t="s">
        <v>1064</v>
      </c>
      <c r="J18" s="101">
        <v>9005693</v>
      </c>
      <c r="K18" s="83" t="s">
        <v>1065</v>
      </c>
      <c r="L18" s="87" t="s">
        <v>747</v>
      </c>
      <c r="M18" s="78" t="s">
        <v>854</v>
      </c>
      <c r="N18" s="78" t="s">
        <v>855</v>
      </c>
    </row>
    <row r="19" spans="1:14" ht="15.75" customHeight="1" x14ac:dyDescent="0.25">
      <c r="A19" s="93">
        <v>17</v>
      </c>
      <c r="B19" s="99" t="s">
        <v>164</v>
      </c>
      <c r="C19" s="99" t="s">
        <v>1055</v>
      </c>
      <c r="D19" s="99" t="s">
        <v>979</v>
      </c>
      <c r="E19" s="99" t="s">
        <v>32</v>
      </c>
      <c r="F19" s="99" t="s">
        <v>1066</v>
      </c>
      <c r="G19" s="100" t="s">
        <v>1067</v>
      </c>
      <c r="H19" s="99" t="s">
        <v>1058</v>
      </c>
      <c r="I19" s="99" t="s">
        <v>1068</v>
      </c>
      <c r="J19" s="101">
        <v>9005694</v>
      </c>
      <c r="K19" s="99" t="s">
        <v>1060</v>
      </c>
      <c r="L19" s="99" t="s">
        <v>19</v>
      </c>
      <c r="M19" s="78" t="s">
        <v>852</v>
      </c>
      <c r="N19" s="78" t="s">
        <v>853</v>
      </c>
    </row>
    <row r="20" spans="1:14" ht="15.75" customHeight="1" x14ac:dyDescent="0.25">
      <c r="A20" s="84">
        <v>18</v>
      </c>
      <c r="B20" s="99" t="s">
        <v>164</v>
      </c>
      <c r="C20" s="99" t="s">
        <v>1055</v>
      </c>
      <c r="D20" s="99" t="s">
        <v>979</v>
      </c>
      <c r="E20" s="99" t="s">
        <v>32</v>
      </c>
      <c r="F20" s="99" t="s">
        <v>1069</v>
      </c>
      <c r="G20" s="100" t="s">
        <v>1070</v>
      </c>
      <c r="H20" s="99" t="s">
        <v>1058</v>
      </c>
      <c r="I20" s="99" t="s">
        <v>1071</v>
      </c>
      <c r="J20" s="101">
        <v>9005691</v>
      </c>
      <c r="K20" s="99" t="s">
        <v>1060</v>
      </c>
      <c r="L20" s="99" t="s">
        <v>19</v>
      </c>
      <c r="M20" s="78" t="s">
        <v>852</v>
      </c>
      <c r="N20" s="78" t="s">
        <v>853</v>
      </c>
    </row>
    <row r="21" spans="1:14" ht="15.75" customHeight="1" x14ac:dyDescent="0.25">
      <c r="A21" s="93">
        <v>19</v>
      </c>
      <c r="B21" s="99" t="s">
        <v>33</v>
      </c>
      <c r="C21" s="99" t="s">
        <v>1072</v>
      </c>
      <c r="D21" s="99" t="s">
        <v>979</v>
      </c>
      <c r="E21" s="99" t="s">
        <v>507</v>
      </c>
      <c r="F21" s="99" t="s">
        <v>1073</v>
      </c>
      <c r="G21" s="102" t="s">
        <v>1074</v>
      </c>
      <c r="H21" s="99" t="s">
        <v>1075</v>
      </c>
      <c r="I21" s="99" t="s">
        <v>1076</v>
      </c>
      <c r="J21" s="101">
        <v>9005664</v>
      </c>
      <c r="K21" s="99" t="s">
        <v>1077</v>
      </c>
      <c r="L21" s="99"/>
      <c r="M21" s="84" t="s">
        <v>597</v>
      </c>
      <c r="N21" s="84" t="s">
        <v>598</v>
      </c>
    </row>
    <row r="22" spans="1:14" ht="15.75" customHeight="1" x14ac:dyDescent="0.25">
      <c r="A22" s="84">
        <v>20</v>
      </c>
      <c r="B22" s="99" t="s">
        <v>33</v>
      </c>
      <c r="C22" s="99" t="s">
        <v>1072</v>
      </c>
      <c r="D22" s="99" t="s">
        <v>979</v>
      </c>
      <c r="E22" s="99" t="s">
        <v>507</v>
      </c>
      <c r="F22" s="104" t="s">
        <v>1078</v>
      </c>
      <c r="G22" s="102" t="s">
        <v>1079</v>
      </c>
      <c r="H22" s="99" t="s">
        <v>1075</v>
      </c>
      <c r="I22" s="99" t="s">
        <v>1080</v>
      </c>
      <c r="J22" s="101">
        <v>9005661</v>
      </c>
      <c r="K22" s="99" t="s">
        <v>1081</v>
      </c>
      <c r="L22" s="99"/>
      <c r="M22" s="84" t="s">
        <v>1082</v>
      </c>
      <c r="N22" s="84" t="s">
        <v>1083</v>
      </c>
    </row>
    <row r="23" spans="1:14" ht="15.75" customHeight="1" x14ac:dyDescent="0.25">
      <c r="A23" s="93">
        <v>21</v>
      </c>
      <c r="B23" s="99" t="s">
        <v>33</v>
      </c>
      <c r="C23" s="99" t="s">
        <v>1072</v>
      </c>
      <c r="D23" s="99" t="s">
        <v>979</v>
      </c>
      <c r="E23" s="99" t="s">
        <v>507</v>
      </c>
      <c r="F23" s="99" t="s">
        <v>1084</v>
      </c>
      <c r="G23" s="102" t="s">
        <v>1085</v>
      </c>
      <c r="H23" s="99" t="s">
        <v>1075</v>
      </c>
      <c r="I23" s="99" t="s">
        <v>1086</v>
      </c>
      <c r="J23" s="101">
        <v>9005663</v>
      </c>
      <c r="K23" s="99" t="s">
        <v>1087</v>
      </c>
      <c r="L23" s="99"/>
      <c r="M23" s="84" t="s">
        <v>601</v>
      </c>
      <c r="N23" s="84" t="s">
        <v>602</v>
      </c>
    </row>
    <row r="24" spans="1:14" ht="15.75" customHeight="1" x14ac:dyDescent="0.25">
      <c r="A24" s="84">
        <v>22</v>
      </c>
      <c r="B24" s="99" t="s">
        <v>33</v>
      </c>
      <c r="C24" s="99" t="s">
        <v>1072</v>
      </c>
      <c r="D24" s="99" t="s">
        <v>979</v>
      </c>
      <c r="E24" s="99" t="s">
        <v>507</v>
      </c>
      <c r="F24" s="99" t="s">
        <v>1088</v>
      </c>
      <c r="G24" s="102" t="s">
        <v>1089</v>
      </c>
      <c r="H24" s="99" t="s">
        <v>1075</v>
      </c>
      <c r="I24" s="99" t="s">
        <v>1090</v>
      </c>
      <c r="J24" s="101">
        <v>9005662</v>
      </c>
      <c r="K24" s="99" t="s">
        <v>1077</v>
      </c>
      <c r="L24" s="99"/>
      <c r="M24" s="84" t="s">
        <v>597</v>
      </c>
      <c r="N24" s="84" t="s">
        <v>598</v>
      </c>
    </row>
    <row r="25" spans="1:14" ht="15.75" customHeight="1" x14ac:dyDescent="0.25">
      <c r="A25" s="93">
        <v>23</v>
      </c>
      <c r="B25" s="99" t="s">
        <v>38</v>
      </c>
      <c r="C25" s="99" t="s">
        <v>1091</v>
      </c>
      <c r="D25" s="99" t="s">
        <v>979</v>
      </c>
      <c r="E25" s="99" t="s">
        <v>117</v>
      </c>
      <c r="F25" s="99" t="s">
        <v>1092</v>
      </c>
      <c r="G25" s="100" t="s">
        <v>1093</v>
      </c>
      <c r="H25" s="99" t="s">
        <v>1094</v>
      </c>
      <c r="I25" s="99" t="s">
        <v>1095</v>
      </c>
      <c r="J25" s="101">
        <v>9005665</v>
      </c>
      <c r="K25" s="83" t="s">
        <v>1096</v>
      </c>
      <c r="L25" s="87" t="s">
        <v>514</v>
      </c>
      <c r="M25" s="79" t="s">
        <v>735</v>
      </c>
      <c r="N25" s="79" t="s">
        <v>736</v>
      </c>
    </row>
    <row r="26" spans="1:14" ht="15.75" customHeight="1" x14ac:dyDescent="0.25">
      <c r="A26" s="84">
        <v>24</v>
      </c>
      <c r="B26" s="99" t="s">
        <v>38</v>
      </c>
      <c r="C26" s="99" t="s">
        <v>1091</v>
      </c>
      <c r="D26" s="99" t="s">
        <v>979</v>
      </c>
      <c r="E26" s="99" t="s">
        <v>117</v>
      </c>
      <c r="F26" s="99" t="s">
        <v>1097</v>
      </c>
      <c r="G26" s="100" t="s">
        <v>1098</v>
      </c>
      <c r="H26" s="99" t="s">
        <v>1094</v>
      </c>
      <c r="I26" s="99" t="s">
        <v>1099</v>
      </c>
      <c r="J26" s="101">
        <v>9005666</v>
      </c>
      <c r="K26" s="99" t="s">
        <v>1100</v>
      </c>
      <c r="L26" s="99" t="s">
        <v>1101</v>
      </c>
      <c r="M26" s="84" t="s">
        <v>1102</v>
      </c>
      <c r="N26" s="84" t="s">
        <v>1103</v>
      </c>
    </row>
    <row r="27" spans="1:14" ht="15.75" customHeight="1" x14ac:dyDescent="0.25">
      <c r="A27" s="93">
        <v>25</v>
      </c>
      <c r="B27" s="99" t="s">
        <v>38</v>
      </c>
      <c r="C27" s="99" t="s">
        <v>1091</v>
      </c>
      <c r="D27" s="99" t="s">
        <v>979</v>
      </c>
      <c r="E27" s="99" t="s">
        <v>117</v>
      </c>
      <c r="F27" s="99" t="s">
        <v>1104</v>
      </c>
      <c r="G27" s="100" t="s">
        <v>1105</v>
      </c>
      <c r="H27" s="99" t="s">
        <v>1094</v>
      </c>
      <c r="I27" s="99" t="s">
        <v>1106</v>
      </c>
      <c r="J27" s="101">
        <v>9005648</v>
      </c>
      <c r="K27" s="99" t="s">
        <v>1107</v>
      </c>
      <c r="L27" s="99" t="s">
        <v>1108</v>
      </c>
      <c r="M27" s="84" t="s">
        <v>1109</v>
      </c>
      <c r="N27" s="84" t="s">
        <v>1110</v>
      </c>
    </row>
    <row r="28" spans="1:14" ht="15.75" customHeight="1" x14ac:dyDescent="0.25">
      <c r="A28" s="84">
        <v>26</v>
      </c>
      <c r="B28" s="99" t="s">
        <v>38</v>
      </c>
      <c r="C28" s="99" t="s">
        <v>1091</v>
      </c>
      <c r="D28" s="99" t="s">
        <v>979</v>
      </c>
      <c r="E28" s="99" t="s">
        <v>117</v>
      </c>
      <c r="F28" s="99" t="s">
        <v>1111</v>
      </c>
      <c r="G28" s="100" t="s">
        <v>1112</v>
      </c>
      <c r="H28" s="99" t="s">
        <v>1094</v>
      </c>
      <c r="I28" s="99" t="s">
        <v>1113</v>
      </c>
      <c r="J28" s="101">
        <v>9005649</v>
      </c>
      <c r="K28" s="99" t="s">
        <v>1114</v>
      </c>
      <c r="L28" s="99" t="s">
        <v>1115</v>
      </c>
      <c r="M28" s="84" t="s">
        <v>1116</v>
      </c>
      <c r="N28" s="84" t="s">
        <v>1117</v>
      </c>
    </row>
    <row r="29" spans="1:14" ht="15.75" customHeight="1" x14ac:dyDescent="0.25">
      <c r="A29" s="93">
        <v>27</v>
      </c>
      <c r="B29" s="99" t="s">
        <v>574</v>
      </c>
      <c r="C29" s="99" t="s">
        <v>1118</v>
      </c>
      <c r="D29" s="99" t="s">
        <v>979</v>
      </c>
      <c r="E29" s="99" t="s">
        <v>508</v>
      </c>
      <c r="F29" s="99" t="s">
        <v>1119</v>
      </c>
      <c r="G29" s="100" t="s">
        <v>1120</v>
      </c>
      <c r="H29" s="99" t="s">
        <v>1121</v>
      </c>
      <c r="I29" s="99" t="s">
        <v>1122</v>
      </c>
      <c r="J29" s="101">
        <v>9005667</v>
      </c>
      <c r="K29" s="99" t="s">
        <v>1123</v>
      </c>
      <c r="L29" s="99" t="s">
        <v>19</v>
      </c>
      <c r="M29" s="84" t="s">
        <v>1124</v>
      </c>
      <c r="N29" s="84" t="s">
        <v>1125</v>
      </c>
    </row>
    <row r="30" spans="1:14" ht="15.75" customHeight="1" x14ac:dyDescent="0.25">
      <c r="A30" s="84">
        <v>28</v>
      </c>
      <c r="B30" s="99" t="s">
        <v>41</v>
      </c>
      <c r="C30" s="99" t="s">
        <v>1126</v>
      </c>
      <c r="D30" s="99" t="s">
        <v>979</v>
      </c>
      <c r="E30" s="99" t="s">
        <v>42</v>
      </c>
      <c r="F30" s="99" t="s">
        <v>1127</v>
      </c>
      <c r="G30" s="100" t="s">
        <v>1128</v>
      </c>
      <c r="H30" s="99" t="s">
        <v>1129</v>
      </c>
      <c r="I30" s="99" t="s">
        <v>1130</v>
      </c>
      <c r="J30" s="103">
        <v>9005701</v>
      </c>
      <c r="K30" s="83" t="s">
        <v>1131</v>
      </c>
      <c r="L30" s="87" t="s">
        <v>763</v>
      </c>
      <c r="M30" s="79" t="s">
        <v>1132</v>
      </c>
      <c r="N30" s="79" t="s">
        <v>1133</v>
      </c>
    </row>
    <row r="31" spans="1:14" ht="15.75" customHeight="1" x14ac:dyDescent="0.25">
      <c r="A31" s="93">
        <v>29</v>
      </c>
      <c r="B31" s="99" t="s">
        <v>41</v>
      </c>
      <c r="C31" s="99" t="s">
        <v>1126</v>
      </c>
      <c r="D31" s="99" t="s">
        <v>979</v>
      </c>
      <c r="E31" s="99" t="s">
        <v>42</v>
      </c>
      <c r="F31" s="99" t="s">
        <v>1134</v>
      </c>
      <c r="G31" s="100" t="s">
        <v>1135</v>
      </c>
      <c r="H31" s="99" t="s">
        <v>1129</v>
      </c>
      <c r="I31" s="99" t="s">
        <v>1136</v>
      </c>
      <c r="J31" s="101">
        <v>9005700</v>
      </c>
      <c r="K31" s="83" t="s">
        <v>1137</v>
      </c>
      <c r="L31" s="87" t="s">
        <v>1138</v>
      </c>
      <c r="M31" s="79" t="s">
        <v>942</v>
      </c>
      <c r="N31" s="79" t="s">
        <v>943</v>
      </c>
    </row>
    <row r="32" spans="1:14" ht="15.75" customHeight="1" x14ac:dyDescent="0.25">
      <c r="A32" s="84">
        <v>30</v>
      </c>
      <c r="B32" s="99" t="s">
        <v>41</v>
      </c>
      <c r="C32" s="99" t="s">
        <v>1126</v>
      </c>
      <c r="D32" s="99" t="s">
        <v>979</v>
      </c>
      <c r="E32" s="99" t="s">
        <v>42</v>
      </c>
      <c r="F32" s="99" t="s">
        <v>1139</v>
      </c>
      <c r="G32" s="100" t="s">
        <v>1140</v>
      </c>
      <c r="H32" s="99" t="s">
        <v>1129</v>
      </c>
      <c r="I32" s="99" t="s">
        <v>1141</v>
      </c>
      <c r="J32" s="103">
        <v>9005702</v>
      </c>
      <c r="K32" s="83" t="s">
        <v>1131</v>
      </c>
      <c r="L32" s="87" t="s">
        <v>763</v>
      </c>
      <c r="M32" s="79" t="s">
        <v>1132</v>
      </c>
      <c r="N32" s="79" t="s">
        <v>1133</v>
      </c>
    </row>
    <row r="33" spans="1:14" ht="15.75" customHeight="1" x14ac:dyDescent="0.25">
      <c r="A33" s="93">
        <v>31</v>
      </c>
      <c r="B33" s="99" t="s">
        <v>135</v>
      </c>
      <c r="C33" s="99" t="s">
        <v>1711</v>
      </c>
      <c r="D33" s="99" t="s">
        <v>979</v>
      </c>
      <c r="E33" s="99" t="s">
        <v>131</v>
      </c>
      <c r="F33" s="99" t="s">
        <v>1142</v>
      </c>
      <c r="G33" s="100" t="s">
        <v>1143</v>
      </c>
      <c r="H33" s="99" t="s">
        <v>1144</v>
      </c>
      <c r="I33" s="99" t="s">
        <v>1145</v>
      </c>
      <c r="J33" s="101">
        <v>9005733</v>
      </c>
      <c r="K33" s="99" t="s">
        <v>1146</v>
      </c>
      <c r="L33" s="99" t="s">
        <v>19</v>
      </c>
      <c r="M33" s="84" t="s">
        <v>571</v>
      </c>
      <c r="N33" s="84" t="s">
        <v>572</v>
      </c>
    </row>
    <row r="34" spans="1:14" ht="15.75" customHeight="1" x14ac:dyDescent="0.25">
      <c r="A34" s="84">
        <v>32</v>
      </c>
      <c r="B34" s="99" t="s">
        <v>160</v>
      </c>
      <c r="C34" s="99" t="s">
        <v>1714</v>
      </c>
      <c r="D34" s="99" t="s">
        <v>990</v>
      </c>
      <c r="E34" s="99" t="s">
        <v>131</v>
      </c>
      <c r="F34" s="99" t="s">
        <v>1147</v>
      </c>
      <c r="G34" s="102" t="s">
        <v>1148</v>
      </c>
      <c r="H34" s="84">
        <v>900335859</v>
      </c>
      <c r="I34" s="84">
        <v>95000649</v>
      </c>
      <c r="J34" s="84">
        <v>9006703</v>
      </c>
      <c r="K34" s="99" t="s">
        <v>1149</v>
      </c>
      <c r="L34" s="99" t="s">
        <v>1150</v>
      </c>
      <c r="M34" s="84" t="s">
        <v>411</v>
      </c>
      <c r="N34" s="84" t="s">
        <v>410</v>
      </c>
    </row>
    <row r="35" spans="1:14" ht="15.75" customHeight="1" x14ac:dyDescent="0.25">
      <c r="A35" s="93">
        <v>33</v>
      </c>
      <c r="B35" s="99" t="s">
        <v>160</v>
      </c>
      <c r="C35" s="99" t="s">
        <v>1714</v>
      </c>
      <c r="D35" s="99" t="s">
        <v>979</v>
      </c>
      <c r="E35" s="99" t="s">
        <v>131</v>
      </c>
      <c r="F35" s="99" t="s">
        <v>1151</v>
      </c>
      <c r="G35" s="100" t="s">
        <v>1152</v>
      </c>
      <c r="H35" s="99" t="s">
        <v>1153</v>
      </c>
      <c r="I35" s="99" t="s">
        <v>1154</v>
      </c>
      <c r="J35" s="101">
        <v>9005729</v>
      </c>
      <c r="K35" s="99" t="s">
        <v>1155</v>
      </c>
      <c r="L35" s="99" t="s">
        <v>19</v>
      </c>
      <c r="M35" s="84" t="s">
        <v>1156</v>
      </c>
      <c r="N35" s="84" t="s">
        <v>1157</v>
      </c>
    </row>
    <row r="36" spans="1:14" ht="15.75" customHeight="1" x14ac:dyDescent="0.25">
      <c r="A36" s="84">
        <v>34</v>
      </c>
      <c r="B36" s="99" t="s">
        <v>160</v>
      </c>
      <c r="C36" s="99" t="s">
        <v>1715</v>
      </c>
      <c r="D36" s="99" t="s">
        <v>979</v>
      </c>
      <c r="E36" s="99" t="s">
        <v>131</v>
      </c>
      <c r="F36" s="99" t="s">
        <v>1158</v>
      </c>
      <c r="G36" s="100" t="s">
        <v>1159</v>
      </c>
      <c r="H36" s="99" t="s">
        <v>1153</v>
      </c>
      <c r="I36" s="99" t="s">
        <v>1160</v>
      </c>
      <c r="J36" s="162">
        <v>9005739</v>
      </c>
      <c r="K36" s="99" t="s">
        <v>1161</v>
      </c>
      <c r="L36" s="99" t="s">
        <v>1162</v>
      </c>
      <c r="M36" s="84" t="s">
        <v>1163</v>
      </c>
      <c r="N36" s="84" t="s">
        <v>1164</v>
      </c>
    </row>
    <row r="37" spans="1:14" ht="15.75" customHeight="1" x14ac:dyDescent="0.25">
      <c r="A37" s="93">
        <v>35</v>
      </c>
      <c r="B37" s="99" t="s">
        <v>160</v>
      </c>
      <c r="C37" s="99" t="s">
        <v>1715</v>
      </c>
      <c r="D37" s="99" t="s">
        <v>979</v>
      </c>
      <c r="E37" s="99" t="s">
        <v>131</v>
      </c>
      <c r="F37" s="99" t="s">
        <v>1165</v>
      </c>
      <c r="G37" s="100" t="s">
        <v>1166</v>
      </c>
      <c r="H37" s="99" t="s">
        <v>1153</v>
      </c>
      <c r="I37" s="99" t="s">
        <v>1167</v>
      </c>
      <c r="J37" s="162">
        <v>9005738</v>
      </c>
      <c r="K37" s="99" t="s">
        <v>1168</v>
      </c>
      <c r="L37" s="99" t="s">
        <v>19</v>
      </c>
      <c r="M37" s="84" t="s">
        <v>1169</v>
      </c>
      <c r="N37" s="84" t="s">
        <v>1170</v>
      </c>
    </row>
    <row r="38" spans="1:14" ht="15.75" customHeight="1" x14ac:dyDescent="0.25">
      <c r="A38" s="84">
        <v>36</v>
      </c>
      <c r="B38" s="99" t="s">
        <v>160</v>
      </c>
      <c r="C38" s="99" t="s">
        <v>1716</v>
      </c>
      <c r="D38" s="99" t="s">
        <v>979</v>
      </c>
      <c r="E38" s="99" t="s">
        <v>131</v>
      </c>
      <c r="F38" s="99" t="s">
        <v>1171</v>
      </c>
      <c r="G38" s="100" t="s">
        <v>1172</v>
      </c>
      <c r="H38" s="99" t="s">
        <v>1153</v>
      </c>
      <c r="I38" s="99" t="s">
        <v>1173</v>
      </c>
      <c r="J38" s="101"/>
      <c r="K38" s="99" t="s">
        <v>1174</v>
      </c>
      <c r="L38" s="99" t="s">
        <v>19</v>
      </c>
      <c r="M38" s="84" t="s">
        <v>1175</v>
      </c>
      <c r="N38" s="84" t="s">
        <v>1176</v>
      </c>
    </row>
    <row r="39" spans="1:14" ht="15.75" customHeight="1" x14ac:dyDescent="0.25">
      <c r="A39" s="93">
        <v>37</v>
      </c>
      <c r="B39" s="99" t="s">
        <v>160</v>
      </c>
      <c r="C39" s="105" t="s">
        <v>1177</v>
      </c>
      <c r="D39" s="87" t="s">
        <v>979</v>
      </c>
      <c r="E39" s="99" t="s">
        <v>131</v>
      </c>
      <c r="F39" s="99" t="s">
        <v>1178</v>
      </c>
      <c r="G39" s="106" t="s">
        <v>1179</v>
      </c>
      <c r="H39" s="87" t="s">
        <v>1180</v>
      </c>
      <c r="I39" s="87" t="s">
        <v>1181</v>
      </c>
      <c r="J39" s="107">
        <v>9005727</v>
      </c>
      <c r="K39" s="105" t="s">
        <v>1182</v>
      </c>
      <c r="L39" s="105" t="s">
        <v>1183</v>
      </c>
      <c r="M39" s="84" t="s">
        <v>1184</v>
      </c>
      <c r="N39" s="84" t="s">
        <v>1185</v>
      </c>
    </row>
    <row r="40" spans="1:14" ht="15.75" customHeight="1" x14ac:dyDescent="0.25">
      <c r="A40" s="84">
        <v>38</v>
      </c>
      <c r="B40" s="99" t="s">
        <v>160</v>
      </c>
      <c r="C40" s="105" t="s">
        <v>1177</v>
      </c>
      <c r="D40" s="87" t="s">
        <v>979</v>
      </c>
      <c r="E40" s="99" t="s">
        <v>131</v>
      </c>
      <c r="F40" s="99" t="s">
        <v>1186</v>
      </c>
      <c r="G40" s="106" t="s">
        <v>1187</v>
      </c>
      <c r="H40" s="87" t="s">
        <v>1180</v>
      </c>
      <c r="I40" s="87" t="s">
        <v>1188</v>
      </c>
      <c r="J40" s="107">
        <v>9005732</v>
      </c>
      <c r="K40" s="105" t="s">
        <v>1189</v>
      </c>
      <c r="L40" s="105" t="s">
        <v>1190</v>
      </c>
      <c r="M40" s="84" t="s">
        <v>792</v>
      </c>
      <c r="N40" s="84" t="s">
        <v>791</v>
      </c>
    </row>
    <row r="41" spans="1:14" ht="15.75" customHeight="1" x14ac:dyDescent="0.25">
      <c r="A41" s="93">
        <v>39</v>
      </c>
      <c r="B41" s="99" t="s">
        <v>160</v>
      </c>
      <c r="C41" s="99" t="s">
        <v>1191</v>
      </c>
      <c r="D41" s="99" t="s">
        <v>979</v>
      </c>
      <c r="E41" s="99" t="s">
        <v>131</v>
      </c>
      <c r="F41" s="99" t="s">
        <v>1192</v>
      </c>
      <c r="G41" s="100" t="s">
        <v>1193</v>
      </c>
      <c r="H41" s="99" t="s">
        <v>1180</v>
      </c>
      <c r="I41" s="99" t="s">
        <v>1194</v>
      </c>
      <c r="J41" s="162">
        <v>9005724</v>
      </c>
      <c r="K41" s="99" t="s">
        <v>1195</v>
      </c>
      <c r="L41" s="99" t="s">
        <v>1196</v>
      </c>
      <c r="M41" s="84" t="s">
        <v>1197</v>
      </c>
      <c r="N41" s="84" t="s">
        <v>1198</v>
      </c>
    </row>
    <row r="42" spans="1:14" ht="15.75" customHeight="1" x14ac:dyDescent="0.25">
      <c r="A42" s="84">
        <v>40</v>
      </c>
      <c r="B42" s="99" t="s">
        <v>160</v>
      </c>
      <c r="C42" s="99" t="s">
        <v>1191</v>
      </c>
      <c r="D42" s="99" t="s">
        <v>990</v>
      </c>
      <c r="E42" s="99" t="s">
        <v>131</v>
      </c>
      <c r="F42" s="99" t="s">
        <v>1199</v>
      </c>
      <c r="G42" s="108" t="s">
        <v>1200</v>
      </c>
      <c r="H42" s="84">
        <v>900318877</v>
      </c>
      <c r="I42" s="84">
        <v>95001514</v>
      </c>
      <c r="J42" s="163">
        <v>9009474</v>
      </c>
      <c r="K42" s="99" t="s">
        <v>1201</v>
      </c>
      <c r="L42" s="99" t="s">
        <v>1202</v>
      </c>
      <c r="M42" s="84" t="s">
        <v>1203</v>
      </c>
      <c r="N42" s="84" t="s">
        <v>1204</v>
      </c>
    </row>
    <row r="43" spans="1:14" ht="15.75" customHeight="1" x14ac:dyDescent="0.25">
      <c r="A43" s="93">
        <v>41</v>
      </c>
      <c r="B43" s="99" t="s">
        <v>160</v>
      </c>
      <c r="C43" s="99" t="s">
        <v>1191</v>
      </c>
      <c r="D43" s="99" t="s">
        <v>990</v>
      </c>
      <c r="E43" s="99" t="s">
        <v>131</v>
      </c>
      <c r="F43" s="99" t="s">
        <v>1205</v>
      </c>
      <c r="G43" s="108" t="s">
        <v>1206</v>
      </c>
      <c r="H43" s="84">
        <v>900318877</v>
      </c>
      <c r="I43" s="84">
        <v>95001516</v>
      </c>
      <c r="J43" s="163">
        <v>9005723</v>
      </c>
      <c r="K43" s="99" t="s">
        <v>1207</v>
      </c>
      <c r="L43" s="99" t="s">
        <v>1208</v>
      </c>
      <c r="M43" s="84" t="s">
        <v>1209</v>
      </c>
      <c r="N43" s="84" t="s">
        <v>1210</v>
      </c>
    </row>
    <row r="44" spans="1:14" ht="15.75" customHeight="1" x14ac:dyDescent="0.25">
      <c r="A44" s="84">
        <v>42</v>
      </c>
      <c r="B44" s="99" t="s">
        <v>160</v>
      </c>
      <c r="C44" s="99" t="s">
        <v>1211</v>
      </c>
      <c r="D44" s="99" t="s">
        <v>979</v>
      </c>
      <c r="E44" s="99" t="s">
        <v>131</v>
      </c>
      <c r="F44" s="99" t="s">
        <v>1212</v>
      </c>
      <c r="G44" s="108" t="s">
        <v>1213</v>
      </c>
      <c r="H44" s="99" t="s">
        <v>1214</v>
      </c>
      <c r="I44" s="99" t="s">
        <v>1215</v>
      </c>
      <c r="J44" s="103"/>
      <c r="K44" s="99" t="s">
        <v>1216</v>
      </c>
      <c r="L44" s="99"/>
      <c r="M44" s="84" t="s">
        <v>1217</v>
      </c>
      <c r="N44" s="84" t="s">
        <v>1218</v>
      </c>
    </row>
    <row r="45" spans="1:14" ht="15.75" customHeight="1" x14ac:dyDescent="0.25">
      <c r="A45" s="93">
        <v>43</v>
      </c>
      <c r="B45" s="99" t="s">
        <v>160</v>
      </c>
      <c r="C45" s="99" t="s">
        <v>1211</v>
      </c>
      <c r="D45" s="99" t="s">
        <v>979</v>
      </c>
      <c r="E45" s="99" t="s">
        <v>131</v>
      </c>
      <c r="F45" s="99" t="s">
        <v>1219</v>
      </c>
      <c r="G45" s="100" t="s">
        <v>1220</v>
      </c>
      <c r="H45" s="99" t="s">
        <v>1180</v>
      </c>
      <c r="I45" s="99" t="s">
        <v>1221</v>
      </c>
      <c r="J45" s="101"/>
      <c r="K45" s="99" t="s">
        <v>1216</v>
      </c>
      <c r="L45" s="99" t="s">
        <v>19</v>
      </c>
      <c r="M45" s="84" t="s">
        <v>1222</v>
      </c>
      <c r="N45" s="84" t="s">
        <v>1223</v>
      </c>
    </row>
    <row r="46" spans="1:14" ht="15.75" customHeight="1" x14ac:dyDescent="0.25">
      <c r="A46" s="84">
        <v>44</v>
      </c>
      <c r="B46" s="99" t="s">
        <v>160</v>
      </c>
      <c r="C46" s="99" t="s">
        <v>1224</v>
      </c>
      <c r="D46" s="99" t="s">
        <v>979</v>
      </c>
      <c r="E46" s="99" t="s">
        <v>131</v>
      </c>
      <c r="F46" s="99" t="s">
        <v>1225</v>
      </c>
      <c r="G46" s="109" t="s">
        <v>1226</v>
      </c>
      <c r="H46" s="99" t="s">
        <v>1180</v>
      </c>
      <c r="I46" s="99" t="s">
        <v>1227</v>
      </c>
      <c r="J46" s="101"/>
      <c r="K46" s="99" t="s">
        <v>1228</v>
      </c>
      <c r="L46" s="99" t="s">
        <v>1229</v>
      </c>
      <c r="M46" s="84" t="s">
        <v>913</v>
      </c>
      <c r="N46" s="84" t="s">
        <v>914</v>
      </c>
    </row>
    <row r="47" spans="1:14" ht="15.75" customHeight="1" x14ac:dyDescent="0.25">
      <c r="A47" s="93">
        <v>45</v>
      </c>
      <c r="B47" s="99" t="s">
        <v>160</v>
      </c>
      <c r="C47" s="99" t="s">
        <v>1230</v>
      </c>
      <c r="D47" s="99" t="s">
        <v>979</v>
      </c>
      <c r="E47" s="99" t="s">
        <v>131</v>
      </c>
      <c r="F47" s="99" t="s">
        <v>1231</v>
      </c>
      <c r="G47" s="108" t="s">
        <v>1232</v>
      </c>
      <c r="H47" s="99" t="s">
        <v>1233</v>
      </c>
      <c r="I47" s="99" t="s">
        <v>1234</v>
      </c>
      <c r="J47" s="101">
        <v>9005744</v>
      </c>
      <c r="K47" s="99" t="s">
        <v>1235</v>
      </c>
      <c r="L47" s="99" t="s">
        <v>19</v>
      </c>
      <c r="M47" s="84" t="s">
        <v>1236</v>
      </c>
      <c r="N47" s="84" t="s">
        <v>1237</v>
      </c>
    </row>
    <row r="48" spans="1:14" ht="15.75" customHeight="1" x14ac:dyDescent="0.25">
      <c r="A48" s="84">
        <v>46</v>
      </c>
      <c r="B48" s="99" t="s">
        <v>135</v>
      </c>
      <c r="C48" s="99" t="s">
        <v>1238</v>
      </c>
      <c r="D48" s="99" t="s">
        <v>990</v>
      </c>
      <c r="E48" s="99" t="s">
        <v>131</v>
      </c>
      <c r="F48" s="99" t="s">
        <v>1239</v>
      </c>
      <c r="G48" s="100" t="s">
        <v>1240</v>
      </c>
      <c r="H48" s="84">
        <v>900318876</v>
      </c>
      <c r="I48" s="84">
        <v>95000613</v>
      </c>
      <c r="J48" s="84">
        <v>9009473</v>
      </c>
      <c r="K48" s="99" t="s">
        <v>1241</v>
      </c>
      <c r="L48" s="99"/>
      <c r="M48" s="84" t="s">
        <v>1242</v>
      </c>
      <c r="N48" s="84" t="s">
        <v>1243</v>
      </c>
    </row>
    <row r="49" spans="1:14" ht="15.75" customHeight="1" x14ac:dyDescent="0.25">
      <c r="A49" s="93">
        <v>47</v>
      </c>
      <c r="B49" s="99" t="s">
        <v>135</v>
      </c>
      <c r="C49" s="99" t="s">
        <v>1238</v>
      </c>
      <c r="D49" s="99" t="s">
        <v>979</v>
      </c>
      <c r="E49" s="99" t="s">
        <v>131</v>
      </c>
      <c r="F49" s="99" t="s">
        <v>1244</v>
      </c>
      <c r="G49" s="100" t="s">
        <v>1245</v>
      </c>
      <c r="H49" s="99" t="s">
        <v>1246</v>
      </c>
      <c r="I49" s="99" t="s">
        <v>1247</v>
      </c>
      <c r="J49" s="101">
        <v>9005728</v>
      </c>
      <c r="K49" s="99" t="s">
        <v>1248</v>
      </c>
      <c r="L49" s="99" t="s">
        <v>19</v>
      </c>
      <c r="M49" s="84" t="s">
        <v>1249</v>
      </c>
      <c r="N49" s="84" t="s">
        <v>1250</v>
      </c>
    </row>
    <row r="50" spans="1:14" ht="15.75" customHeight="1" x14ac:dyDescent="0.25">
      <c r="A50" s="84">
        <v>48</v>
      </c>
      <c r="B50" s="99" t="s">
        <v>135</v>
      </c>
      <c r="C50" s="99" t="s">
        <v>1251</v>
      </c>
      <c r="D50" s="99" t="s">
        <v>979</v>
      </c>
      <c r="E50" s="99" t="s">
        <v>131</v>
      </c>
      <c r="F50" s="99" t="s">
        <v>1252</v>
      </c>
      <c r="G50" s="100" t="s">
        <v>1253</v>
      </c>
      <c r="H50" s="99" t="s">
        <v>1254</v>
      </c>
      <c r="I50" s="99" t="s">
        <v>1255</v>
      </c>
      <c r="J50" s="101"/>
      <c r="K50" s="99" t="s">
        <v>1256</v>
      </c>
      <c r="L50" s="99" t="s">
        <v>19</v>
      </c>
      <c r="M50" s="84" t="s">
        <v>775</v>
      </c>
      <c r="N50" s="84" t="s">
        <v>776</v>
      </c>
    </row>
    <row r="51" spans="1:14" ht="15.75" customHeight="1" x14ac:dyDescent="0.25">
      <c r="A51" s="93">
        <v>49</v>
      </c>
      <c r="B51" s="99" t="s">
        <v>135</v>
      </c>
      <c r="C51" s="99" t="s">
        <v>1257</v>
      </c>
      <c r="D51" s="99" t="s">
        <v>979</v>
      </c>
      <c r="E51" s="99" t="s">
        <v>131</v>
      </c>
      <c r="F51" s="99" t="s">
        <v>1258</v>
      </c>
      <c r="G51" s="108" t="s">
        <v>1259</v>
      </c>
      <c r="H51" s="99" t="s">
        <v>1214</v>
      </c>
      <c r="I51" s="99" t="s">
        <v>1260</v>
      </c>
      <c r="J51" s="101"/>
      <c r="K51" s="99" t="s">
        <v>1261</v>
      </c>
      <c r="L51" s="99" t="s">
        <v>1262</v>
      </c>
      <c r="M51" s="84" t="s">
        <v>1263</v>
      </c>
      <c r="N51" s="84" t="s">
        <v>1264</v>
      </c>
    </row>
    <row r="52" spans="1:14" ht="15.75" customHeight="1" x14ac:dyDescent="0.25">
      <c r="A52" s="84">
        <v>50</v>
      </c>
      <c r="B52" s="99" t="s">
        <v>135</v>
      </c>
      <c r="C52" s="99" t="s">
        <v>1257</v>
      </c>
      <c r="D52" s="99" t="s">
        <v>979</v>
      </c>
      <c r="E52" s="99" t="s">
        <v>131</v>
      </c>
      <c r="F52" s="99" t="s">
        <v>1265</v>
      </c>
      <c r="G52" s="100" t="s">
        <v>1266</v>
      </c>
      <c r="H52" s="99" t="s">
        <v>1267</v>
      </c>
      <c r="I52" s="99" t="s">
        <v>1268</v>
      </c>
      <c r="J52" s="103"/>
      <c r="K52" s="99" t="s">
        <v>1261</v>
      </c>
      <c r="L52" s="99" t="s">
        <v>1262</v>
      </c>
      <c r="M52" s="84" t="s">
        <v>1263</v>
      </c>
      <c r="N52" s="84" t="s">
        <v>1264</v>
      </c>
    </row>
    <row r="53" spans="1:14" ht="15.75" customHeight="1" x14ac:dyDescent="0.25">
      <c r="A53" s="93">
        <v>51</v>
      </c>
      <c r="B53" s="99" t="s">
        <v>160</v>
      </c>
      <c r="C53" s="99" t="s">
        <v>1717</v>
      </c>
      <c r="D53" s="99" t="s">
        <v>990</v>
      </c>
      <c r="E53" s="99" t="s">
        <v>131</v>
      </c>
      <c r="F53" s="99" t="s">
        <v>1269</v>
      </c>
      <c r="G53" s="100" t="s">
        <v>1270</v>
      </c>
      <c r="H53" s="84">
        <v>900334337</v>
      </c>
      <c r="I53" s="84">
        <v>95000621</v>
      </c>
      <c r="J53" s="84">
        <v>9006710</v>
      </c>
      <c r="K53" s="99" t="s">
        <v>1271</v>
      </c>
      <c r="L53" s="99"/>
      <c r="M53" s="84" t="s">
        <v>1272</v>
      </c>
      <c r="N53" s="84" t="s">
        <v>1273</v>
      </c>
    </row>
    <row r="54" spans="1:14" ht="15.75" customHeight="1" x14ac:dyDescent="0.25">
      <c r="A54" s="84">
        <v>52</v>
      </c>
      <c r="B54" s="99" t="s">
        <v>160</v>
      </c>
      <c r="C54" s="99" t="s">
        <v>1717</v>
      </c>
      <c r="D54" s="99" t="s">
        <v>979</v>
      </c>
      <c r="E54" s="99" t="s">
        <v>131</v>
      </c>
      <c r="F54" s="99" t="s">
        <v>1274</v>
      </c>
      <c r="G54" s="100" t="s">
        <v>1275</v>
      </c>
      <c r="H54" s="99" t="s">
        <v>1276</v>
      </c>
      <c r="I54" s="99" t="s">
        <v>1277</v>
      </c>
      <c r="J54" s="162">
        <v>9005726</v>
      </c>
      <c r="K54" s="99" t="s">
        <v>1278</v>
      </c>
      <c r="L54" s="99" t="s">
        <v>19</v>
      </c>
      <c r="M54" s="84" t="s">
        <v>807</v>
      </c>
      <c r="N54" s="84" t="s">
        <v>808</v>
      </c>
    </row>
    <row r="55" spans="1:14" ht="15.75" customHeight="1" x14ac:dyDescent="0.25">
      <c r="A55" s="93">
        <v>53</v>
      </c>
      <c r="B55" s="99" t="s">
        <v>160</v>
      </c>
      <c r="C55" s="99" t="s">
        <v>1718</v>
      </c>
      <c r="D55" s="99" t="s">
        <v>990</v>
      </c>
      <c r="E55" s="99" t="s">
        <v>131</v>
      </c>
      <c r="F55" s="99" t="s">
        <v>1279</v>
      </c>
      <c r="G55" s="100" t="s">
        <v>1280</v>
      </c>
      <c r="H55" s="84">
        <v>900334337</v>
      </c>
      <c r="I55" s="84">
        <v>95001482</v>
      </c>
      <c r="J55" s="84"/>
      <c r="K55" s="99" t="s">
        <v>1281</v>
      </c>
      <c r="L55" s="99"/>
      <c r="M55" s="84" t="s">
        <v>1282</v>
      </c>
      <c r="N55" s="84" t="s">
        <v>1283</v>
      </c>
    </row>
    <row r="56" spans="1:14" ht="15.75" customHeight="1" x14ac:dyDescent="0.25">
      <c r="A56" s="84">
        <v>54</v>
      </c>
      <c r="B56" s="99" t="s">
        <v>160</v>
      </c>
      <c r="C56" s="99" t="s">
        <v>1718</v>
      </c>
      <c r="D56" s="99" t="s">
        <v>990</v>
      </c>
      <c r="E56" s="99" t="s">
        <v>131</v>
      </c>
      <c r="F56" s="99" t="s">
        <v>1284</v>
      </c>
      <c r="G56" s="100" t="s">
        <v>1285</v>
      </c>
      <c r="H56" s="84">
        <v>900334337</v>
      </c>
      <c r="I56" s="84">
        <v>95001480</v>
      </c>
      <c r="J56" s="163">
        <v>9006698</v>
      </c>
      <c r="K56" s="99" t="s">
        <v>1286</v>
      </c>
      <c r="L56" s="99"/>
      <c r="M56" s="84" t="s">
        <v>1287</v>
      </c>
      <c r="N56" s="84" t="s">
        <v>1288</v>
      </c>
    </row>
    <row r="57" spans="1:14" ht="15.75" customHeight="1" x14ac:dyDescent="0.25">
      <c r="A57" s="93">
        <v>55</v>
      </c>
      <c r="B57" s="99" t="s">
        <v>160</v>
      </c>
      <c r="C57" s="99" t="s">
        <v>1718</v>
      </c>
      <c r="D57" s="99" t="s">
        <v>979</v>
      </c>
      <c r="E57" s="99" t="s">
        <v>131</v>
      </c>
      <c r="F57" s="99" t="s">
        <v>1289</v>
      </c>
      <c r="G57" s="100" t="s">
        <v>1290</v>
      </c>
      <c r="H57" s="99" t="s">
        <v>1276</v>
      </c>
      <c r="I57" s="99" t="s">
        <v>1291</v>
      </c>
      <c r="J57" s="162">
        <v>9005725</v>
      </c>
      <c r="K57" s="99" t="s">
        <v>1292</v>
      </c>
      <c r="L57" s="99" t="s">
        <v>1293</v>
      </c>
      <c r="M57" s="84" t="s">
        <v>929</v>
      </c>
      <c r="N57" s="84" t="s">
        <v>1294</v>
      </c>
    </row>
    <row r="58" spans="1:14" ht="15.75" customHeight="1" x14ac:dyDescent="0.25">
      <c r="A58" s="84">
        <v>56</v>
      </c>
      <c r="B58" s="99" t="s">
        <v>135</v>
      </c>
      <c r="C58" s="99" t="s">
        <v>1712</v>
      </c>
      <c r="D58" s="99" t="s">
        <v>979</v>
      </c>
      <c r="E58" s="99" t="s">
        <v>131</v>
      </c>
      <c r="F58" s="99" t="s">
        <v>1295</v>
      </c>
      <c r="G58" s="100" t="s">
        <v>1296</v>
      </c>
      <c r="H58" s="99" t="s">
        <v>1276</v>
      </c>
      <c r="I58" s="99" t="s">
        <v>1297</v>
      </c>
      <c r="J58" s="101"/>
      <c r="K58" s="99" t="s">
        <v>1298</v>
      </c>
      <c r="L58" s="99" t="s">
        <v>1299</v>
      </c>
      <c r="M58" s="84" t="s">
        <v>1300</v>
      </c>
      <c r="N58" s="84" t="s">
        <v>1301</v>
      </c>
    </row>
    <row r="59" spans="1:14" ht="15.75" customHeight="1" x14ac:dyDescent="0.25">
      <c r="A59" s="93">
        <v>57</v>
      </c>
      <c r="B59" s="99" t="s">
        <v>135</v>
      </c>
      <c r="C59" s="99" t="s">
        <v>1712</v>
      </c>
      <c r="D59" s="99" t="s">
        <v>979</v>
      </c>
      <c r="E59" s="99" t="s">
        <v>131</v>
      </c>
      <c r="F59" s="99" t="s">
        <v>1302</v>
      </c>
      <c r="G59" s="100" t="s">
        <v>1303</v>
      </c>
      <c r="H59" s="99" t="s">
        <v>1276</v>
      </c>
      <c r="I59" s="99" t="s">
        <v>1304</v>
      </c>
      <c r="J59" s="101"/>
      <c r="K59" s="99" t="s">
        <v>1305</v>
      </c>
      <c r="L59" s="99" t="s">
        <v>1306</v>
      </c>
      <c r="M59" s="84" t="s">
        <v>911</v>
      </c>
      <c r="N59" s="84" t="s">
        <v>912</v>
      </c>
    </row>
    <row r="60" spans="1:14" ht="15.75" customHeight="1" x14ac:dyDescent="0.25">
      <c r="A60" s="84">
        <v>58</v>
      </c>
      <c r="B60" s="99" t="s">
        <v>135</v>
      </c>
      <c r="C60" s="99" t="s">
        <v>1713</v>
      </c>
      <c r="D60" s="99" t="s">
        <v>990</v>
      </c>
      <c r="E60" s="99" t="s">
        <v>131</v>
      </c>
      <c r="F60" s="99" t="s">
        <v>1307</v>
      </c>
      <c r="G60" s="102" t="s">
        <v>1308</v>
      </c>
      <c r="H60" s="84">
        <v>900334337</v>
      </c>
      <c r="I60" s="84">
        <v>95001488</v>
      </c>
      <c r="J60" s="163">
        <v>9006727</v>
      </c>
      <c r="K60" s="99" t="s">
        <v>1309</v>
      </c>
      <c r="L60" s="99" t="s">
        <v>1310</v>
      </c>
      <c r="M60" s="84" t="s">
        <v>1311</v>
      </c>
      <c r="N60" s="84" t="s">
        <v>1312</v>
      </c>
    </row>
    <row r="61" spans="1:14" ht="15.75" customHeight="1" x14ac:dyDescent="0.25">
      <c r="A61" s="93">
        <v>59</v>
      </c>
      <c r="B61" s="99" t="s">
        <v>135</v>
      </c>
      <c r="C61" s="99" t="s">
        <v>1713</v>
      </c>
      <c r="D61" s="99" t="s">
        <v>979</v>
      </c>
      <c r="E61" s="99" t="s">
        <v>131</v>
      </c>
      <c r="F61" s="99" t="s">
        <v>1313</v>
      </c>
      <c r="G61" s="102" t="s">
        <v>1314</v>
      </c>
      <c r="H61" s="99" t="s">
        <v>1276</v>
      </c>
      <c r="I61" s="99" t="s">
        <v>1315</v>
      </c>
      <c r="J61" s="164">
        <v>9005734</v>
      </c>
      <c r="K61" s="99" t="s">
        <v>1316</v>
      </c>
      <c r="L61" s="99" t="s">
        <v>1317</v>
      </c>
      <c r="M61" s="84" t="s">
        <v>1318</v>
      </c>
      <c r="N61" s="84" t="s">
        <v>1319</v>
      </c>
    </row>
    <row r="62" spans="1:14" ht="15.75" customHeight="1" x14ac:dyDescent="0.25">
      <c r="A62" s="84">
        <v>60</v>
      </c>
      <c r="B62" s="99" t="s">
        <v>135</v>
      </c>
      <c r="C62" s="99" t="s">
        <v>1713</v>
      </c>
      <c r="D62" s="99" t="s">
        <v>979</v>
      </c>
      <c r="E62" s="99" t="s">
        <v>131</v>
      </c>
      <c r="F62" s="99" t="s">
        <v>1320</v>
      </c>
      <c r="G62" s="102" t="s">
        <v>1321</v>
      </c>
      <c r="H62" s="99" t="s">
        <v>1276</v>
      </c>
      <c r="I62" s="99" t="s">
        <v>1322</v>
      </c>
      <c r="J62" s="162">
        <v>9005445</v>
      </c>
      <c r="K62" s="99" t="s">
        <v>1323</v>
      </c>
      <c r="L62" s="99" t="s">
        <v>1324</v>
      </c>
      <c r="M62" s="84" t="s">
        <v>1325</v>
      </c>
      <c r="N62" s="84" t="s">
        <v>1326</v>
      </c>
    </row>
    <row r="63" spans="1:14" ht="15.75" customHeight="1" x14ac:dyDescent="0.25">
      <c r="A63" s="93">
        <v>61</v>
      </c>
      <c r="B63" s="99" t="s">
        <v>160</v>
      </c>
      <c r="C63" s="99" t="s">
        <v>1719</v>
      </c>
      <c r="D63" s="99" t="s">
        <v>979</v>
      </c>
      <c r="E63" s="99" t="s">
        <v>131</v>
      </c>
      <c r="F63" s="99" t="s">
        <v>1327</v>
      </c>
      <c r="G63" s="102" t="s">
        <v>1328</v>
      </c>
      <c r="H63" s="99" t="s">
        <v>1276</v>
      </c>
      <c r="I63" s="99" t="s">
        <v>1329</v>
      </c>
      <c r="J63" s="162">
        <v>9005722</v>
      </c>
      <c r="K63" s="99" t="s">
        <v>1330</v>
      </c>
      <c r="L63" s="99" t="s">
        <v>1331</v>
      </c>
      <c r="M63" s="84" t="s">
        <v>1332</v>
      </c>
      <c r="N63" s="84" t="s">
        <v>1333</v>
      </c>
    </row>
    <row r="64" spans="1:14" ht="15.75" customHeight="1" x14ac:dyDescent="0.25">
      <c r="A64" s="84">
        <v>62</v>
      </c>
      <c r="B64" s="99" t="s">
        <v>43</v>
      </c>
      <c r="C64" s="99" t="s">
        <v>1761</v>
      </c>
      <c r="D64" s="99" t="s">
        <v>990</v>
      </c>
      <c r="E64" s="99" t="s">
        <v>45</v>
      </c>
      <c r="F64" s="99" t="s">
        <v>1334</v>
      </c>
      <c r="G64" s="108" t="s">
        <v>1335</v>
      </c>
      <c r="H64" s="85" t="s">
        <v>1366</v>
      </c>
      <c r="I64" s="85" t="s">
        <v>1754</v>
      </c>
      <c r="J64" s="84">
        <v>9006715</v>
      </c>
      <c r="K64" s="99" t="s">
        <v>1336</v>
      </c>
      <c r="L64" s="99" t="s">
        <v>34</v>
      </c>
      <c r="M64" s="84" t="s">
        <v>1337</v>
      </c>
      <c r="N64" s="84" t="s">
        <v>1338</v>
      </c>
    </row>
    <row r="65" spans="1:14" ht="15.75" customHeight="1" x14ac:dyDescent="0.25">
      <c r="A65" s="93">
        <v>63</v>
      </c>
      <c r="B65" s="99" t="s">
        <v>43</v>
      </c>
      <c r="C65" s="99" t="s">
        <v>1761</v>
      </c>
      <c r="D65" s="99" t="s">
        <v>990</v>
      </c>
      <c r="E65" s="99" t="s">
        <v>45</v>
      </c>
      <c r="F65" s="99" t="s">
        <v>1339</v>
      </c>
      <c r="G65" s="108" t="s">
        <v>1340</v>
      </c>
      <c r="H65" s="85" t="s">
        <v>1366</v>
      </c>
      <c r="I65" s="85" t="s">
        <v>1755</v>
      </c>
      <c r="J65" s="84">
        <v>9006713</v>
      </c>
      <c r="K65" s="99" t="s">
        <v>1341</v>
      </c>
      <c r="L65" s="99" t="s">
        <v>1342</v>
      </c>
      <c r="M65" s="84" t="s">
        <v>1343</v>
      </c>
      <c r="N65" s="84" t="s">
        <v>1344</v>
      </c>
    </row>
    <row r="66" spans="1:14" ht="15.75" customHeight="1" x14ac:dyDescent="0.25">
      <c r="A66" s="84">
        <v>64</v>
      </c>
      <c r="B66" s="99" t="s">
        <v>43</v>
      </c>
      <c r="C66" s="99" t="s">
        <v>1761</v>
      </c>
      <c r="D66" s="99" t="s">
        <v>990</v>
      </c>
      <c r="E66" s="99" t="s">
        <v>45</v>
      </c>
      <c r="F66" s="99" t="s">
        <v>1345</v>
      </c>
      <c r="G66" s="108" t="s">
        <v>1346</v>
      </c>
      <c r="H66" s="85" t="s">
        <v>1366</v>
      </c>
      <c r="I66" s="85" t="s">
        <v>1756</v>
      </c>
      <c r="J66" s="84">
        <v>9006717</v>
      </c>
      <c r="K66" s="99" t="s">
        <v>1336</v>
      </c>
      <c r="L66" s="99" t="s">
        <v>34</v>
      </c>
      <c r="M66" s="84" t="s">
        <v>1347</v>
      </c>
      <c r="N66" s="84" t="s">
        <v>1348</v>
      </c>
    </row>
    <row r="67" spans="1:14" ht="15.75" customHeight="1" x14ac:dyDescent="0.25">
      <c r="A67" s="93">
        <v>65</v>
      </c>
      <c r="B67" s="99" t="s">
        <v>43</v>
      </c>
      <c r="C67" s="99" t="s">
        <v>1761</v>
      </c>
      <c r="D67" s="99" t="s">
        <v>979</v>
      </c>
      <c r="E67" s="99" t="s">
        <v>45</v>
      </c>
      <c r="F67" s="99" t="s">
        <v>1349</v>
      </c>
      <c r="G67" s="108" t="s">
        <v>1350</v>
      </c>
      <c r="H67" s="85" t="s">
        <v>1366</v>
      </c>
      <c r="I67" s="84" t="s">
        <v>1757</v>
      </c>
      <c r="J67" s="103">
        <v>9005673</v>
      </c>
      <c r="K67" s="99" t="s">
        <v>1351</v>
      </c>
      <c r="L67" s="99" t="s">
        <v>29</v>
      </c>
      <c r="M67" s="84" t="s">
        <v>1352</v>
      </c>
      <c r="N67" s="84" t="s">
        <v>1353</v>
      </c>
    </row>
    <row r="68" spans="1:14" ht="15.75" customHeight="1" x14ac:dyDescent="0.25">
      <c r="A68" s="84">
        <v>66</v>
      </c>
      <c r="B68" s="99" t="s">
        <v>43</v>
      </c>
      <c r="C68" s="99" t="s">
        <v>1761</v>
      </c>
      <c r="D68" s="99" t="s">
        <v>979</v>
      </c>
      <c r="E68" s="99" t="s">
        <v>45</v>
      </c>
      <c r="F68" s="99" t="s">
        <v>1354</v>
      </c>
      <c r="G68" s="108" t="s">
        <v>1355</v>
      </c>
      <c r="H68" s="85" t="s">
        <v>1366</v>
      </c>
      <c r="I68" s="84" t="s">
        <v>1758</v>
      </c>
      <c r="J68" s="101">
        <v>9005674</v>
      </c>
      <c r="K68" s="99" t="s">
        <v>1356</v>
      </c>
      <c r="L68" s="99" t="s">
        <v>29</v>
      </c>
      <c r="M68" s="84" t="s">
        <v>1357</v>
      </c>
      <c r="N68" s="84" t="s">
        <v>1358</v>
      </c>
    </row>
    <row r="69" spans="1:14" ht="15.75" customHeight="1" x14ac:dyDescent="0.25">
      <c r="A69" s="93">
        <v>67</v>
      </c>
      <c r="B69" s="99" t="s">
        <v>43</v>
      </c>
      <c r="C69" s="99" t="s">
        <v>1761</v>
      </c>
      <c r="D69" s="99" t="s">
        <v>979</v>
      </c>
      <c r="E69" s="99" t="s">
        <v>45</v>
      </c>
      <c r="F69" s="99" t="s">
        <v>1359</v>
      </c>
      <c r="G69" s="108" t="s">
        <v>1360</v>
      </c>
      <c r="H69" s="85" t="s">
        <v>1366</v>
      </c>
      <c r="I69" s="84" t="s">
        <v>1759</v>
      </c>
      <c r="J69" s="101">
        <v>9005672</v>
      </c>
      <c r="K69" s="99" t="s">
        <v>1361</v>
      </c>
      <c r="L69" s="99" t="s">
        <v>19</v>
      </c>
      <c r="M69" s="84" t="s">
        <v>1347</v>
      </c>
      <c r="N69" s="84" t="s">
        <v>1348</v>
      </c>
    </row>
    <row r="70" spans="1:14" ht="15.75" customHeight="1" x14ac:dyDescent="0.25">
      <c r="A70" s="84">
        <v>68</v>
      </c>
      <c r="B70" s="99" t="s">
        <v>43</v>
      </c>
      <c r="C70" s="99" t="s">
        <v>1761</v>
      </c>
      <c r="D70" s="99" t="s">
        <v>979</v>
      </c>
      <c r="E70" s="99" t="s">
        <v>45</v>
      </c>
      <c r="F70" s="99" t="s">
        <v>1362</v>
      </c>
      <c r="G70" s="108" t="s">
        <v>1363</v>
      </c>
      <c r="H70" s="85" t="s">
        <v>1366</v>
      </c>
      <c r="I70" s="84" t="s">
        <v>1760</v>
      </c>
      <c r="J70" s="101">
        <v>9005675</v>
      </c>
      <c r="K70" s="99" t="s">
        <v>1361</v>
      </c>
      <c r="L70" s="99" t="s">
        <v>19</v>
      </c>
      <c r="M70" s="84" t="s">
        <v>1347</v>
      </c>
      <c r="N70" s="84" t="s">
        <v>1348</v>
      </c>
    </row>
    <row r="71" spans="1:14" ht="15.75" customHeight="1" x14ac:dyDescent="0.25">
      <c r="A71" s="93">
        <v>69</v>
      </c>
      <c r="B71" s="99" t="s">
        <v>43</v>
      </c>
      <c r="C71" s="99" t="s">
        <v>1761</v>
      </c>
      <c r="D71" s="99" t="s">
        <v>979</v>
      </c>
      <c r="E71" s="99" t="s">
        <v>45</v>
      </c>
      <c r="F71" s="99" t="s">
        <v>1364</v>
      </c>
      <c r="G71" s="100" t="s">
        <v>1365</v>
      </c>
      <c r="H71" s="85" t="s">
        <v>1366</v>
      </c>
      <c r="I71" s="190">
        <v>95001022</v>
      </c>
      <c r="J71" s="101">
        <v>9005681</v>
      </c>
      <c r="K71" s="99" t="s">
        <v>1367</v>
      </c>
      <c r="L71" s="99" t="s">
        <v>19</v>
      </c>
      <c r="M71" s="84" t="s">
        <v>1368</v>
      </c>
      <c r="N71" s="84" t="s">
        <v>1369</v>
      </c>
    </row>
    <row r="72" spans="1:14" ht="15.75" customHeight="1" x14ac:dyDescent="0.25">
      <c r="A72" s="84">
        <v>70</v>
      </c>
      <c r="B72" s="99" t="s">
        <v>43</v>
      </c>
      <c r="C72" s="99" t="s">
        <v>1761</v>
      </c>
      <c r="D72" s="99" t="s">
        <v>979</v>
      </c>
      <c r="E72" s="99" t="s">
        <v>45</v>
      </c>
      <c r="F72" s="99" t="s">
        <v>1370</v>
      </c>
      <c r="G72" s="100" t="s">
        <v>1371</v>
      </c>
      <c r="H72" s="85" t="s">
        <v>1366</v>
      </c>
      <c r="I72" s="190">
        <v>95001021</v>
      </c>
      <c r="J72" s="101">
        <v>9005680</v>
      </c>
      <c r="K72" s="99" t="s">
        <v>1367</v>
      </c>
      <c r="L72" s="99" t="s">
        <v>34</v>
      </c>
      <c r="M72" s="84" t="s">
        <v>456</v>
      </c>
      <c r="N72" s="84" t="s">
        <v>455</v>
      </c>
    </row>
    <row r="73" spans="1:14" ht="15.75" customHeight="1" x14ac:dyDescent="0.25">
      <c r="A73" s="93">
        <v>71</v>
      </c>
      <c r="B73" s="99" t="s">
        <v>46</v>
      </c>
      <c r="C73" s="99" t="s">
        <v>1372</v>
      </c>
      <c r="D73" s="99" t="s">
        <v>990</v>
      </c>
      <c r="E73" s="99" t="s">
        <v>45</v>
      </c>
      <c r="F73" s="99" t="s">
        <v>1373</v>
      </c>
      <c r="G73" s="100" t="s">
        <v>1374</v>
      </c>
      <c r="H73" s="84">
        <v>900332781</v>
      </c>
      <c r="I73" s="84">
        <v>95000592</v>
      </c>
      <c r="J73" s="84">
        <v>9006723</v>
      </c>
      <c r="K73" s="99" t="s">
        <v>1375</v>
      </c>
      <c r="L73" s="99" t="s">
        <v>34</v>
      </c>
      <c r="M73" s="87" t="s">
        <v>1376</v>
      </c>
      <c r="N73" s="87" t="s">
        <v>1377</v>
      </c>
    </row>
    <row r="74" spans="1:14" ht="15.75" customHeight="1" x14ac:dyDescent="0.25">
      <c r="A74" s="84">
        <v>72</v>
      </c>
      <c r="B74" s="99" t="s">
        <v>46</v>
      </c>
      <c r="C74" s="99" t="s">
        <v>1372</v>
      </c>
      <c r="D74" s="99" t="s">
        <v>990</v>
      </c>
      <c r="E74" s="99" t="s">
        <v>45</v>
      </c>
      <c r="F74" s="99" t="s">
        <v>1378</v>
      </c>
      <c r="G74" s="100" t="s">
        <v>1379</v>
      </c>
      <c r="H74" s="84">
        <v>900332781</v>
      </c>
      <c r="I74" s="84">
        <v>95000610</v>
      </c>
      <c r="J74" s="84">
        <v>9006722</v>
      </c>
      <c r="K74" s="99" t="s">
        <v>1380</v>
      </c>
      <c r="L74" s="99"/>
      <c r="M74" s="87" t="s">
        <v>1381</v>
      </c>
      <c r="N74" s="87" t="s">
        <v>1382</v>
      </c>
    </row>
    <row r="75" spans="1:14" ht="15.75" customHeight="1" x14ac:dyDescent="0.25">
      <c r="A75" s="93">
        <v>73</v>
      </c>
      <c r="B75" s="99" t="s">
        <v>46</v>
      </c>
      <c r="C75" s="99" t="s">
        <v>1372</v>
      </c>
      <c r="D75" s="99" t="s">
        <v>979</v>
      </c>
      <c r="E75" s="99" t="s">
        <v>45</v>
      </c>
      <c r="F75" s="99" t="s">
        <v>1383</v>
      </c>
      <c r="G75" s="100" t="s">
        <v>1384</v>
      </c>
      <c r="H75" s="99" t="s">
        <v>1385</v>
      </c>
      <c r="I75" s="99" t="s">
        <v>1386</v>
      </c>
      <c r="J75" s="101">
        <v>9005678</v>
      </c>
      <c r="K75" s="99" t="s">
        <v>1387</v>
      </c>
      <c r="L75" s="99" t="s">
        <v>1388</v>
      </c>
      <c r="M75" s="84" t="s">
        <v>1389</v>
      </c>
      <c r="N75" s="84" t="s">
        <v>1390</v>
      </c>
    </row>
    <row r="76" spans="1:14" ht="15.75" customHeight="1" x14ac:dyDescent="0.25">
      <c r="A76" s="84">
        <v>74</v>
      </c>
      <c r="B76" s="99" t="s">
        <v>46</v>
      </c>
      <c r="C76" s="99" t="s">
        <v>1372</v>
      </c>
      <c r="D76" s="99" t="s">
        <v>979</v>
      </c>
      <c r="E76" s="99" t="s">
        <v>45</v>
      </c>
      <c r="F76" s="99" t="s">
        <v>1391</v>
      </c>
      <c r="G76" s="100" t="s">
        <v>1392</v>
      </c>
      <c r="H76" s="99" t="s">
        <v>1385</v>
      </c>
      <c r="I76" s="99" t="s">
        <v>1393</v>
      </c>
      <c r="J76" s="101">
        <v>9005679</v>
      </c>
      <c r="K76" s="99" t="s">
        <v>1394</v>
      </c>
      <c r="L76" s="99" t="s">
        <v>19</v>
      </c>
      <c r="M76" s="84" t="s">
        <v>1395</v>
      </c>
      <c r="N76" s="84" t="s">
        <v>1396</v>
      </c>
    </row>
    <row r="77" spans="1:14" ht="15.75" customHeight="1" x14ac:dyDescent="0.25">
      <c r="A77" s="93">
        <v>75</v>
      </c>
      <c r="B77" s="99" t="s">
        <v>46</v>
      </c>
      <c r="C77" s="99" t="s">
        <v>1372</v>
      </c>
      <c r="D77" s="99" t="s">
        <v>979</v>
      </c>
      <c r="E77" s="99" t="s">
        <v>45</v>
      </c>
      <c r="F77" s="99" t="s">
        <v>1397</v>
      </c>
      <c r="G77" s="100" t="s">
        <v>1398</v>
      </c>
      <c r="H77" s="99" t="s">
        <v>1385</v>
      </c>
      <c r="I77" s="99" t="s">
        <v>1399</v>
      </c>
      <c r="J77" s="101">
        <v>9005677</v>
      </c>
      <c r="K77" s="83" t="s">
        <v>1400</v>
      </c>
      <c r="L77" s="87" t="s">
        <v>459</v>
      </c>
      <c r="M77" s="79" t="s">
        <v>1401</v>
      </c>
      <c r="N77" s="79" t="s">
        <v>1402</v>
      </c>
    </row>
    <row r="78" spans="1:14" ht="15.75" customHeight="1" x14ac:dyDescent="0.25">
      <c r="A78" s="84">
        <v>76</v>
      </c>
      <c r="B78" s="99" t="s">
        <v>46</v>
      </c>
      <c r="C78" s="99" t="s">
        <v>1372</v>
      </c>
      <c r="D78" s="99" t="s">
        <v>979</v>
      </c>
      <c r="E78" s="99" t="s">
        <v>45</v>
      </c>
      <c r="F78" s="99" t="s">
        <v>1403</v>
      </c>
      <c r="G78" s="100" t="s">
        <v>1404</v>
      </c>
      <c r="H78" s="99" t="s">
        <v>1385</v>
      </c>
      <c r="I78" s="99" t="s">
        <v>1405</v>
      </c>
      <c r="J78" s="101">
        <v>9005676</v>
      </c>
      <c r="K78" s="99" t="s">
        <v>1394</v>
      </c>
      <c r="L78" s="99" t="s">
        <v>19</v>
      </c>
      <c r="M78" s="84" t="s">
        <v>1395</v>
      </c>
      <c r="N78" s="84" t="s">
        <v>1396</v>
      </c>
    </row>
    <row r="79" spans="1:14" ht="15.75" customHeight="1" x14ac:dyDescent="0.25">
      <c r="A79" s="93">
        <v>77</v>
      </c>
      <c r="B79" s="99" t="s">
        <v>53</v>
      </c>
      <c r="C79" s="99" t="s">
        <v>1406</v>
      </c>
      <c r="D79" s="99" t="s">
        <v>979</v>
      </c>
      <c r="E79" s="99" t="s">
        <v>54</v>
      </c>
      <c r="F79" s="99" t="s">
        <v>1407</v>
      </c>
      <c r="G79" s="100" t="s">
        <v>1408</v>
      </c>
      <c r="H79" s="99" t="s">
        <v>1409</v>
      </c>
      <c r="I79" s="99" t="s">
        <v>1410</v>
      </c>
      <c r="J79" s="101">
        <v>9005706</v>
      </c>
      <c r="K79" s="84" t="s">
        <v>1411</v>
      </c>
      <c r="L79" s="87" t="s">
        <v>19</v>
      </c>
      <c r="M79" s="87" t="s">
        <v>617</v>
      </c>
      <c r="N79" s="87" t="s">
        <v>618</v>
      </c>
    </row>
    <row r="80" spans="1:14" ht="15.75" customHeight="1" x14ac:dyDescent="0.25">
      <c r="A80" s="84">
        <v>78</v>
      </c>
      <c r="B80" s="99" t="s">
        <v>53</v>
      </c>
      <c r="C80" s="99" t="s">
        <v>1406</v>
      </c>
      <c r="D80" s="99" t="s">
        <v>979</v>
      </c>
      <c r="E80" s="99" t="s">
        <v>54</v>
      </c>
      <c r="F80" s="99" t="s">
        <v>1412</v>
      </c>
      <c r="G80" s="100" t="s">
        <v>1413</v>
      </c>
      <c r="H80" s="99" t="s">
        <v>1409</v>
      </c>
      <c r="I80" s="99" t="s">
        <v>1414</v>
      </c>
      <c r="J80" s="101">
        <v>9005707</v>
      </c>
      <c r="K80" s="84" t="s">
        <v>1415</v>
      </c>
      <c r="L80" s="87" t="s">
        <v>494</v>
      </c>
      <c r="M80" s="87" t="s">
        <v>1416</v>
      </c>
      <c r="N80" s="87" t="s">
        <v>1417</v>
      </c>
    </row>
    <row r="81" spans="1:14" ht="15.75" customHeight="1" x14ac:dyDescent="0.25">
      <c r="A81" s="93">
        <v>79</v>
      </c>
      <c r="B81" s="99" t="s">
        <v>53</v>
      </c>
      <c r="C81" s="99" t="s">
        <v>1406</v>
      </c>
      <c r="D81" s="99" t="s">
        <v>979</v>
      </c>
      <c r="E81" s="99" t="s">
        <v>54</v>
      </c>
      <c r="F81" s="99" t="s">
        <v>1418</v>
      </c>
      <c r="G81" s="100" t="s">
        <v>1419</v>
      </c>
      <c r="H81" s="99" t="s">
        <v>1409</v>
      </c>
      <c r="I81" s="99" t="s">
        <v>1420</v>
      </c>
      <c r="J81" s="101">
        <v>9005705</v>
      </c>
      <c r="K81" s="84" t="s">
        <v>1421</v>
      </c>
      <c r="L81" s="87" t="s">
        <v>842</v>
      </c>
      <c r="M81" s="87" t="s">
        <v>1422</v>
      </c>
      <c r="N81" s="87" t="s">
        <v>1423</v>
      </c>
    </row>
    <row r="82" spans="1:14" ht="15.75" customHeight="1" x14ac:dyDescent="0.25">
      <c r="A82" s="84">
        <v>80</v>
      </c>
      <c r="B82" s="99" t="s">
        <v>88</v>
      </c>
      <c r="C82" s="99" t="s">
        <v>1722</v>
      </c>
      <c r="D82" s="99" t="s">
        <v>990</v>
      </c>
      <c r="E82" s="99" t="s">
        <v>54</v>
      </c>
      <c r="F82" s="99" t="s">
        <v>1424</v>
      </c>
      <c r="G82" s="100" t="s">
        <v>1425</v>
      </c>
      <c r="H82" s="84">
        <v>900332324</v>
      </c>
      <c r="I82" s="84">
        <v>95000577</v>
      </c>
      <c r="J82" s="84">
        <v>9006691</v>
      </c>
      <c r="K82" s="99" t="s">
        <v>1426</v>
      </c>
      <c r="L82" s="99"/>
      <c r="M82" s="85" t="s">
        <v>1427</v>
      </c>
      <c r="N82" s="85" t="s">
        <v>1428</v>
      </c>
    </row>
    <row r="83" spans="1:14" ht="15.75" customHeight="1" x14ac:dyDescent="0.25">
      <c r="A83" s="93">
        <v>81</v>
      </c>
      <c r="B83" s="99" t="s">
        <v>88</v>
      </c>
      <c r="C83" s="99" t="s">
        <v>1722</v>
      </c>
      <c r="D83" s="99" t="s">
        <v>990</v>
      </c>
      <c r="E83" s="99" t="s">
        <v>54</v>
      </c>
      <c r="F83" s="99" t="s">
        <v>1429</v>
      </c>
      <c r="G83" s="100" t="s">
        <v>1430</v>
      </c>
      <c r="H83" s="84">
        <v>900332324</v>
      </c>
      <c r="I83" s="84">
        <v>95000576</v>
      </c>
      <c r="J83" s="84">
        <v>9006689</v>
      </c>
      <c r="K83" s="99" t="s">
        <v>1431</v>
      </c>
      <c r="L83" s="99" t="s">
        <v>1432</v>
      </c>
      <c r="M83" s="85" t="s">
        <v>1433</v>
      </c>
      <c r="N83" s="85" t="s">
        <v>1434</v>
      </c>
    </row>
    <row r="84" spans="1:14" ht="15.75" customHeight="1" x14ac:dyDescent="0.25">
      <c r="A84" s="84">
        <v>82</v>
      </c>
      <c r="B84" s="99" t="s">
        <v>88</v>
      </c>
      <c r="C84" s="99" t="s">
        <v>1722</v>
      </c>
      <c r="D84" s="99" t="s">
        <v>979</v>
      </c>
      <c r="E84" s="99" t="s">
        <v>54</v>
      </c>
      <c r="F84" s="99" t="s">
        <v>1435</v>
      </c>
      <c r="G84" s="100" t="s">
        <v>1436</v>
      </c>
      <c r="H84" s="99" t="s">
        <v>1437</v>
      </c>
      <c r="I84" s="99" t="s">
        <v>1438</v>
      </c>
      <c r="J84" s="101">
        <v>9005708</v>
      </c>
      <c r="K84" s="83" t="s">
        <v>845</v>
      </c>
      <c r="L84" s="87" t="s">
        <v>844</v>
      </c>
      <c r="M84" s="79" t="s">
        <v>846</v>
      </c>
      <c r="N84" s="79" t="s">
        <v>847</v>
      </c>
    </row>
    <row r="85" spans="1:14" ht="15.75" customHeight="1" x14ac:dyDescent="0.25">
      <c r="A85" s="93">
        <v>83</v>
      </c>
      <c r="B85" s="99" t="s">
        <v>88</v>
      </c>
      <c r="C85" s="99" t="s">
        <v>1722</v>
      </c>
      <c r="D85" s="99" t="s">
        <v>979</v>
      </c>
      <c r="E85" s="99" t="s">
        <v>54</v>
      </c>
      <c r="F85" s="99" t="s">
        <v>1439</v>
      </c>
      <c r="G85" s="100" t="s">
        <v>1440</v>
      </c>
      <c r="H85" s="99" t="s">
        <v>1437</v>
      </c>
      <c r="I85" s="99" t="s">
        <v>1441</v>
      </c>
      <c r="J85" s="101">
        <v>9005709</v>
      </c>
      <c r="K85" s="83" t="s">
        <v>848</v>
      </c>
      <c r="L85" s="99" t="s">
        <v>34</v>
      </c>
      <c r="M85" s="78" t="s">
        <v>753</v>
      </c>
      <c r="N85" s="78" t="s">
        <v>754</v>
      </c>
    </row>
    <row r="86" spans="1:14" ht="15.75" customHeight="1" x14ac:dyDescent="0.25">
      <c r="A86" s="84">
        <v>84</v>
      </c>
      <c r="B86" s="99" t="s">
        <v>60</v>
      </c>
      <c r="C86" s="99" t="s">
        <v>1442</v>
      </c>
      <c r="D86" s="99" t="s">
        <v>979</v>
      </c>
      <c r="E86" s="99" t="s">
        <v>510</v>
      </c>
      <c r="F86" s="99" t="s">
        <v>1443</v>
      </c>
      <c r="G86" s="100" t="s">
        <v>1444</v>
      </c>
      <c r="H86" s="99" t="s">
        <v>1445</v>
      </c>
      <c r="I86" s="99" t="s">
        <v>1446</v>
      </c>
      <c r="J86" s="101">
        <v>9005682</v>
      </c>
      <c r="K86" s="83" t="s">
        <v>1447</v>
      </c>
      <c r="L86" s="87" t="s">
        <v>626</v>
      </c>
      <c r="M86" s="79" t="s">
        <v>1448</v>
      </c>
      <c r="N86" s="79" t="s">
        <v>1449</v>
      </c>
    </row>
    <row r="87" spans="1:14" ht="15.75" customHeight="1" x14ac:dyDescent="0.25">
      <c r="A87" s="93">
        <v>85</v>
      </c>
      <c r="B87" s="99" t="s">
        <v>64</v>
      </c>
      <c r="C87" s="99" t="s">
        <v>1450</v>
      </c>
      <c r="D87" s="99" t="s">
        <v>979</v>
      </c>
      <c r="E87" s="99" t="s">
        <v>32</v>
      </c>
      <c r="F87" s="99" t="s">
        <v>1451</v>
      </c>
      <c r="G87" s="100" t="s">
        <v>1452</v>
      </c>
      <c r="H87" s="99" t="s">
        <v>1453</v>
      </c>
      <c r="I87" s="99" t="s">
        <v>1454</v>
      </c>
      <c r="J87" s="101">
        <v>9005685</v>
      </c>
      <c r="K87" s="99" t="s">
        <v>1455</v>
      </c>
      <c r="L87" s="99" t="s">
        <v>1061</v>
      </c>
      <c r="M87" s="84" t="s">
        <v>1456</v>
      </c>
      <c r="N87" s="84" t="s">
        <v>1457</v>
      </c>
    </row>
    <row r="88" spans="1:14" ht="15.75" customHeight="1" x14ac:dyDescent="0.25">
      <c r="A88" s="84">
        <v>86</v>
      </c>
      <c r="B88" s="99" t="s">
        <v>64</v>
      </c>
      <c r="C88" s="99" t="s">
        <v>1450</v>
      </c>
      <c r="D88" s="99" t="s">
        <v>979</v>
      </c>
      <c r="E88" s="99" t="s">
        <v>32</v>
      </c>
      <c r="F88" s="99" t="s">
        <v>1458</v>
      </c>
      <c r="G88" s="100" t="s">
        <v>1459</v>
      </c>
      <c r="H88" s="99" t="s">
        <v>1453</v>
      </c>
      <c r="I88" s="99" t="s">
        <v>1460</v>
      </c>
      <c r="J88" s="101">
        <v>9005683</v>
      </c>
      <c r="K88" s="99" t="s">
        <v>1455</v>
      </c>
      <c r="L88" s="99" t="s">
        <v>1061</v>
      </c>
      <c r="M88" s="84" t="s">
        <v>1456</v>
      </c>
      <c r="N88" s="84" t="s">
        <v>1457</v>
      </c>
    </row>
    <row r="89" spans="1:14" ht="15.75" customHeight="1" x14ac:dyDescent="0.25">
      <c r="A89" s="93">
        <v>87</v>
      </c>
      <c r="B89" s="99" t="s">
        <v>64</v>
      </c>
      <c r="C89" s="99" t="s">
        <v>1450</v>
      </c>
      <c r="D89" s="99" t="s">
        <v>979</v>
      </c>
      <c r="E89" s="99" t="s">
        <v>32</v>
      </c>
      <c r="F89" s="99" t="s">
        <v>1461</v>
      </c>
      <c r="G89" s="100" t="s">
        <v>1462</v>
      </c>
      <c r="H89" s="99" t="s">
        <v>1453</v>
      </c>
      <c r="I89" s="99" t="s">
        <v>1463</v>
      </c>
      <c r="J89" s="101">
        <v>9005687</v>
      </c>
      <c r="K89" s="99" t="s">
        <v>1455</v>
      </c>
      <c r="L89" s="99" t="s">
        <v>1061</v>
      </c>
      <c r="M89" s="84" t="s">
        <v>1456</v>
      </c>
      <c r="N89" s="84" t="s">
        <v>1457</v>
      </c>
    </row>
    <row r="90" spans="1:14" ht="15.75" customHeight="1" x14ac:dyDescent="0.25">
      <c r="A90" s="84">
        <v>88</v>
      </c>
      <c r="B90" s="99" t="s">
        <v>64</v>
      </c>
      <c r="C90" s="99" t="s">
        <v>1450</v>
      </c>
      <c r="D90" s="99" t="s">
        <v>979</v>
      </c>
      <c r="E90" s="99" t="s">
        <v>32</v>
      </c>
      <c r="F90" s="99" t="s">
        <v>1464</v>
      </c>
      <c r="G90" s="100" t="s">
        <v>1465</v>
      </c>
      <c r="H90" s="99" t="s">
        <v>1453</v>
      </c>
      <c r="I90" s="99" t="s">
        <v>1466</v>
      </c>
      <c r="J90" s="101">
        <v>9005686</v>
      </c>
      <c r="K90" s="99" t="s">
        <v>1455</v>
      </c>
      <c r="L90" s="99" t="s">
        <v>1061</v>
      </c>
      <c r="M90" s="84" t="s">
        <v>1456</v>
      </c>
      <c r="N90" s="84" t="s">
        <v>1457</v>
      </c>
    </row>
    <row r="91" spans="1:14" ht="15.75" customHeight="1" x14ac:dyDescent="0.25">
      <c r="A91" s="93">
        <v>89</v>
      </c>
      <c r="B91" s="99" t="s">
        <v>64</v>
      </c>
      <c r="C91" s="99" t="s">
        <v>1450</v>
      </c>
      <c r="D91" s="99" t="s">
        <v>979</v>
      </c>
      <c r="E91" s="99" t="s">
        <v>32</v>
      </c>
      <c r="F91" s="99" t="s">
        <v>1467</v>
      </c>
      <c r="G91" s="100" t="s">
        <v>1468</v>
      </c>
      <c r="H91" s="99" t="s">
        <v>1453</v>
      </c>
      <c r="I91" s="99" t="s">
        <v>1469</v>
      </c>
      <c r="J91" s="101">
        <v>9005684</v>
      </c>
      <c r="K91" s="99" t="s">
        <v>1455</v>
      </c>
      <c r="L91" s="99" t="s">
        <v>19</v>
      </c>
      <c r="M91" s="84" t="s">
        <v>1456</v>
      </c>
      <c r="N91" s="84" t="s">
        <v>1457</v>
      </c>
    </row>
    <row r="92" spans="1:14" ht="15.75" customHeight="1" x14ac:dyDescent="0.25">
      <c r="A92" s="84">
        <v>90</v>
      </c>
      <c r="B92" s="99" t="s">
        <v>64</v>
      </c>
      <c r="C92" s="99" t="s">
        <v>1450</v>
      </c>
      <c r="D92" s="99" t="s">
        <v>979</v>
      </c>
      <c r="E92" s="99" t="s">
        <v>32</v>
      </c>
      <c r="F92" s="99" t="s">
        <v>1470</v>
      </c>
      <c r="G92" s="100" t="s">
        <v>1471</v>
      </c>
      <c r="H92" s="99" t="s">
        <v>1453</v>
      </c>
      <c r="I92" s="99" t="s">
        <v>1472</v>
      </c>
      <c r="J92" s="101">
        <v>9005689</v>
      </c>
      <c r="K92" s="99" t="s">
        <v>1455</v>
      </c>
      <c r="L92" s="99" t="s">
        <v>1061</v>
      </c>
      <c r="M92" s="84" t="s">
        <v>1456</v>
      </c>
      <c r="N92" s="84" t="s">
        <v>1457</v>
      </c>
    </row>
    <row r="93" spans="1:14" ht="15.75" customHeight="1" x14ac:dyDescent="0.25">
      <c r="A93" s="93">
        <v>91</v>
      </c>
      <c r="B93" s="99" t="s">
        <v>64</v>
      </c>
      <c r="C93" s="99" t="s">
        <v>1450</v>
      </c>
      <c r="D93" s="99" t="s">
        <v>979</v>
      </c>
      <c r="E93" s="99" t="s">
        <v>32</v>
      </c>
      <c r="F93" s="99" t="s">
        <v>1473</v>
      </c>
      <c r="G93" s="100" t="s">
        <v>1474</v>
      </c>
      <c r="H93" s="99" t="s">
        <v>1453</v>
      </c>
      <c r="I93" s="99" t="s">
        <v>1475</v>
      </c>
      <c r="J93" s="101">
        <v>9005688</v>
      </c>
      <c r="K93" s="99" t="s">
        <v>1455</v>
      </c>
      <c r="L93" s="99" t="s">
        <v>1061</v>
      </c>
      <c r="M93" s="84" t="s">
        <v>1456</v>
      </c>
      <c r="N93" s="84" t="s">
        <v>1457</v>
      </c>
    </row>
    <row r="94" spans="1:14" ht="15.75" customHeight="1" x14ac:dyDescent="0.25">
      <c r="A94" s="84">
        <v>92</v>
      </c>
      <c r="B94" s="99" t="s">
        <v>64</v>
      </c>
      <c r="C94" s="99" t="s">
        <v>1450</v>
      </c>
      <c r="D94" s="99" t="s">
        <v>979</v>
      </c>
      <c r="E94" s="99" t="s">
        <v>32</v>
      </c>
      <c r="F94" s="99" t="s">
        <v>1476</v>
      </c>
      <c r="G94" s="100" t="s">
        <v>1477</v>
      </c>
      <c r="H94" s="99" t="s">
        <v>1453</v>
      </c>
      <c r="I94" s="99" t="s">
        <v>1478</v>
      </c>
      <c r="J94" s="101">
        <v>9005690</v>
      </c>
      <c r="K94" s="99" t="s">
        <v>1455</v>
      </c>
      <c r="L94" s="99" t="s">
        <v>19</v>
      </c>
      <c r="M94" s="84" t="s">
        <v>1456</v>
      </c>
      <c r="N94" s="84" t="s">
        <v>1457</v>
      </c>
    </row>
    <row r="95" spans="1:14" ht="15.75" customHeight="1" x14ac:dyDescent="0.25">
      <c r="A95" s="93">
        <v>93</v>
      </c>
      <c r="B95" s="99" t="s">
        <v>68</v>
      </c>
      <c r="C95" s="99" t="s">
        <v>1479</v>
      </c>
      <c r="D95" s="99" t="s">
        <v>979</v>
      </c>
      <c r="E95" s="99" t="s">
        <v>509</v>
      </c>
      <c r="F95" s="99" t="s">
        <v>1480</v>
      </c>
      <c r="G95" s="100" t="s">
        <v>1481</v>
      </c>
      <c r="H95" s="99" t="s">
        <v>1482</v>
      </c>
      <c r="I95" s="99" t="s">
        <v>1483</v>
      </c>
      <c r="J95" s="103">
        <v>9005696</v>
      </c>
      <c r="K95" s="83" t="s">
        <v>1484</v>
      </c>
      <c r="L95" s="87" t="s">
        <v>809</v>
      </c>
      <c r="M95" s="79" t="s">
        <v>810</v>
      </c>
      <c r="N95" s="79" t="s">
        <v>811</v>
      </c>
    </row>
    <row r="96" spans="1:14" ht="15.75" customHeight="1" x14ac:dyDescent="0.25">
      <c r="A96" s="84">
        <v>94</v>
      </c>
      <c r="B96" s="99" t="s">
        <v>68</v>
      </c>
      <c r="C96" s="99" t="s">
        <v>1479</v>
      </c>
      <c r="D96" s="99" t="s">
        <v>979</v>
      </c>
      <c r="E96" s="99" t="s">
        <v>509</v>
      </c>
      <c r="F96" s="99" t="s">
        <v>1485</v>
      </c>
      <c r="G96" s="100" t="s">
        <v>1486</v>
      </c>
      <c r="H96" s="99" t="s">
        <v>1482</v>
      </c>
      <c r="I96" s="99" t="s">
        <v>1487</v>
      </c>
      <c r="J96" s="103">
        <v>9005697</v>
      </c>
      <c r="K96" s="99" t="s">
        <v>493</v>
      </c>
      <c r="L96" s="99" t="s">
        <v>19</v>
      </c>
      <c r="M96" s="79" t="s">
        <v>1488</v>
      </c>
      <c r="N96" s="79" t="s">
        <v>1489</v>
      </c>
    </row>
    <row r="97" spans="1:14" ht="15.75" customHeight="1" x14ac:dyDescent="0.25">
      <c r="A97" s="93">
        <v>95</v>
      </c>
      <c r="B97" s="99" t="s">
        <v>68</v>
      </c>
      <c r="C97" s="99" t="s">
        <v>1479</v>
      </c>
      <c r="D97" s="99" t="s">
        <v>979</v>
      </c>
      <c r="E97" s="99" t="s">
        <v>509</v>
      </c>
      <c r="F97" s="99" t="s">
        <v>1490</v>
      </c>
      <c r="G97" s="100" t="s">
        <v>1491</v>
      </c>
      <c r="H97" s="99" t="s">
        <v>1482</v>
      </c>
      <c r="I97" s="99" t="s">
        <v>1492</v>
      </c>
      <c r="J97" s="101">
        <v>9005695</v>
      </c>
      <c r="K97" s="99" t="s">
        <v>1493</v>
      </c>
      <c r="L97" s="99" t="s">
        <v>1494</v>
      </c>
      <c r="M97" s="84" t="s">
        <v>1495</v>
      </c>
      <c r="N97" s="84" t="s">
        <v>1496</v>
      </c>
    </row>
    <row r="98" spans="1:14" ht="15.75" customHeight="1" x14ac:dyDescent="0.25">
      <c r="A98" s="84">
        <v>96</v>
      </c>
      <c r="B98" s="99" t="s">
        <v>72</v>
      </c>
      <c r="C98" s="99" t="s">
        <v>1736</v>
      </c>
      <c r="D98" s="99" t="s">
        <v>979</v>
      </c>
      <c r="E98" s="99" t="s">
        <v>28</v>
      </c>
      <c r="F98" s="99" t="s">
        <v>1497</v>
      </c>
      <c r="G98" s="100" t="s">
        <v>1498</v>
      </c>
      <c r="H98" s="85">
        <v>900381781</v>
      </c>
      <c r="I98" s="188" t="s">
        <v>1753</v>
      </c>
      <c r="J98" s="101">
        <v>9005660</v>
      </c>
      <c r="K98" s="83" t="s">
        <v>820</v>
      </c>
      <c r="L98" s="87" t="s">
        <v>821</v>
      </c>
      <c r="M98" s="79" t="s">
        <v>1499</v>
      </c>
      <c r="N98" s="79" t="s">
        <v>1500</v>
      </c>
    </row>
    <row r="99" spans="1:14" ht="15.75" customHeight="1" x14ac:dyDescent="0.25">
      <c r="A99" s="93">
        <v>97</v>
      </c>
      <c r="B99" s="99" t="s">
        <v>72</v>
      </c>
      <c r="C99" s="99" t="s">
        <v>1736</v>
      </c>
      <c r="D99" s="99" t="s">
        <v>979</v>
      </c>
      <c r="E99" s="99" t="s">
        <v>28</v>
      </c>
      <c r="F99" s="99" t="s">
        <v>1501</v>
      </c>
      <c r="G99" s="100" t="s">
        <v>1502</v>
      </c>
      <c r="H99" s="85">
        <v>900381781</v>
      </c>
      <c r="I99" s="85">
        <v>95001963</v>
      </c>
      <c r="J99" s="101">
        <v>9005659</v>
      </c>
      <c r="K99" s="83" t="s">
        <v>818</v>
      </c>
      <c r="L99" s="87" t="s">
        <v>819</v>
      </c>
      <c r="M99" s="79" t="s">
        <v>1503</v>
      </c>
      <c r="N99" s="79" t="s">
        <v>1504</v>
      </c>
    </row>
    <row r="100" spans="1:14" ht="15.75" customHeight="1" x14ac:dyDescent="0.25">
      <c r="A100" s="84">
        <v>98</v>
      </c>
      <c r="B100" s="99" t="s">
        <v>73</v>
      </c>
      <c r="C100" s="110" t="s">
        <v>1505</v>
      </c>
      <c r="D100" s="99" t="s">
        <v>990</v>
      </c>
      <c r="E100" s="99" t="s">
        <v>77</v>
      </c>
      <c r="F100" s="99" t="s">
        <v>1506</v>
      </c>
      <c r="G100" s="102" t="s">
        <v>1507</v>
      </c>
      <c r="H100" s="84">
        <v>900334871</v>
      </c>
      <c r="I100" s="84">
        <v>95000633</v>
      </c>
      <c r="J100" s="84">
        <v>9009507</v>
      </c>
      <c r="K100" s="99" t="s">
        <v>1508</v>
      </c>
      <c r="L100" s="99" t="s">
        <v>78</v>
      </c>
      <c r="M100" s="84" t="s">
        <v>945</v>
      </c>
      <c r="N100" s="84" t="s">
        <v>946</v>
      </c>
    </row>
    <row r="101" spans="1:14" ht="15.75" customHeight="1" x14ac:dyDescent="0.25">
      <c r="A101" s="93">
        <v>99</v>
      </c>
      <c r="B101" s="99" t="s">
        <v>73</v>
      </c>
      <c r="C101" s="110" t="s">
        <v>1505</v>
      </c>
      <c r="D101" s="99" t="s">
        <v>990</v>
      </c>
      <c r="E101" s="99" t="s">
        <v>77</v>
      </c>
      <c r="F101" s="99" t="s">
        <v>1509</v>
      </c>
      <c r="G101" s="102" t="s">
        <v>1510</v>
      </c>
      <c r="H101" s="84">
        <v>900334871</v>
      </c>
      <c r="I101" s="84">
        <v>95000634</v>
      </c>
      <c r="J101" s="84">
        <v>9009508</v>
      </c>
      <c r="K101" s="99" t="s">
        <v>1511</v>
      </c>
      <c r="L101" s="99" t="s">
        <v>1494</v>
      </c>
      <c r="M101" s="84" t="s">
        <v>1512</v>
      </c>
      <c r="N101" s="84" t="s">
        <v>1513</v>
      </c>
    </row>
    <row r="102" spans="1:14" ht="15.75" customHeight="1" x14ac:dyDescent="0.25">
      <c r="A102" s="84">
        <v>100</v>
      </c>
      <c r="B102" s="99" t="s">
        <v>73</v>
      </c>
      <c r="C102" s="110" t="s">
        <v>1505</v>
      </c>
      <c r="D102" s="99" t="s">
        <v>990</v>
      </c>
      <c r="E102" s="99" t="s">
        <v>77</v>
      </c>
      <c r="F102" s="99" t="s">
        <v>1514</v>
      </c>
      <c r="G102" s="102" t="s">
        <v>1515</v>
      </c>
      <c r="H102" s="84">
        <v>900334871</v>
      </c>
      <c r="I102" s="84">
        <v>95000635</v>
      </c>
      <c r="J102" s="84">
        <v>9009509</v>
      </c>
      <c r="K102" s="99" t="s">
        <v>1511</v>
      </c>
      <c r="L102" s="99" t="s">
        <v>1516</v>
      </c>
      <c r="M102" s="84" t="s">
        <v>1517</v>
      </c>
      <c r="N102" s="84" t="s">
        <v>1518</v>
      </c>
    </row>
    <row r="103" spans="1:14" ht="15.75" customHeight="1" x14ac:dyDescent="0.25">
      <c r="A103" s="93">
        <v>101</v>
      </c>
      <c r="B103" s="99" t="s">
        <v>73</v>
      </c>
      <c r="C103" s="110" t="s">
        <v>1505</v>
      </c>
      <c r="D103" s="99" t="s">
        <v>990</v>
      </c>
      <c r="E103" s="99" t="s">
        <v>77</v>
      </c>
      <c r="F103" s="99" t="s">
        <v>1519</v>
      </c>
      <c r="G103" s="102" t="s">
        <v>1520</v>
      </c>
      <c r="H103" s="84">
        <v>900334871</v>
      </c>
      <c r="I103" s="84">
        <v>95000636</v>
      </c>
      <c r="J103" s="84">
        <v>9010546</v>
      </c>
      <c r="K103" s="99" t="s">
        <v>1521</v>
      </c>
      <c r="L103" s="99" t="s">
        <v>1522</v>
      </c>
      <c r="M103" s="84" t="s">
        <v>951</v>
      </c>
      <c r="N103" s="84" t="s">
        <v>952</v>
      </c>
    </row>
    <row r="104" spans="1:14" ht="15.75" customHeight="1" x14ac:dyDescent="0.25">
      <c r="A104" s="84">
        <v>102</v>
      </c>
      <c r="B104" s="99" t="s">
        <v>73</v>
      </c>
      <c r="C104" s="110" t="s">
        <v>1505</v>
      </c>
      <c r="D104" s="99" t="s">
        <v>979</v>
      </c>
      <c r="E104" s="99" t="s">
        <v>77</v>
      </c>
      <c r="F104" s="99" t="s">
        <v>1523</v>
      </c>
      <c r="G104" s="102" t="s">
        <v>1524</v>
      </c>
      <c r="H104" s="99" t="s">
        <v>1525</v>
      </c>
      <c r="I104" s="99" t="s">
        <v>1526</v>
      </c>
      <c r="J104" s="101">
        <v>9005711</v>
      </c>
      <c r="K104" s="83" t="s">
        <v>1527</v>
      </c>
      <c r="L104" s="99" t="s">
        <v>1528</v>
      </c>
      <c r="M104" s="84" t="s">
        <v>947</v>
      </c>
      <c r="N104" s="84" t="s">
        <v>948</v>
      </c>
    </row>
    <row r="105" spans="1:14" ht="15.75" customHeight="1" x14ac:dyDescent="0.25">
      <c r="A105" s="93">
        <v>103</v>
      </c>
      <c r="B105" s="99" t="s">
        <v>73</v>
      </c>
      <c r="C105" s="110" t="s">
        <v>1505</v>
      </c>
      <c r="D105" s="99" t="s">
        <v>979</v>
      </c>
      <c r="E105" s="99" t="s">
        <v>77</v>
      </c>
      <c r="F105" s="99" t="s">
        <v>1529</v>
      </c>
      <c r="G105" s="102" t="s">
        <v>1530</v>
      </c>
      <c r="H105" s="99" t="s">
        <v>1525</v>
      </c>
      <c r="I105" s="99" t="s">
        <v>1531</v>
      </c>
      <c r="J105" s="103">
        <v>9005716</v>
      </c>
      <c r="K105" s="99" t="s">
        <v>1532</v>
      </c>
      <c r="L105" s="99" t="s">
        <v>19</v>
      </c>
      <c r="M105" s="84" t="s">
        <v>1533</v>
      </c>
      <c r="N105" s="84" t="s">
        <v>1534</v>
      </c>
    </row>
    <row r="106" spans="1:14" ht="15.75" customHeight="1" x14ac:dyDescent="0.25">
      <c r="A106" s="84">
        <v>104</v>
      </c>
      <c r="B106" s="99" t="s">
        <v>88</v>
      </c>
      <c r="C106" s="99" t="s">
        <v>1721</v>
      </c>
      <c r="D106" s="99" t="s">
        <v>990</v>
      </c>
      <c r="E106" s="99" t="s">
        <v>54</v>
      </c>
      <c r="F106" s="99" t="s">
        <v>1535</v>
      </c>
      <c r="G106" s="100" t="s">
        <v>1536</v>
      </c>
      <c r="H106" s="84">
        <v>900334152</v>
      </c>
      <c r="I106" s="84">
        <v>95000616</v>
      </c>
      <c r="J106" s="84">
        <v>9006686</v>
      </c>
      <c r="K106" s="111" t="s">
        <v>1537</v>
      </c>
      <c r="L106" s="112" t="s">
        <v>1538</v>
      </c>
      <c r="M106" s="87" t="s">
        <v>492</v>
      </c>
      <c r="N106" s="87" t="s">
        <v>491</v>
      </c>
    </row>
    <row r="107" spans="1:14" ht="15.75" customHeight="1" x14ac:dyDescent="0.25">
      <c r="A107" s="93">
        <v>105</v>
      </c>
      <c r="B107" s="99" t="s">
        <v>88</v>
      </c>
      <c r="C107" s="99" t="s">
        <v>1721</v>
      </c>
      <c r="D107" s="99" t="s">
        <v>990</v>
      </c>
      <c r="E107" s="99" t="s">
        <v>54</v>
      </c>
      <c r="F107" s="99" t="s">
        <v>1539</v>
      </c>
      <c r="G107" s="100" t="s">
        <v>1540</v>
      </c>
      <c r="H107" s="84">
        <v>900334152</v>
      </c>
      <c r="I107" s="84">
        <v>95000617</v>
      </c>
      <c r="J107" s="113">
        <v>9012257</v>
      </c>
      <c r="K107" s="87" t="s">
        <v>740</v>
      </c>
      <c r="L107" s="84" t="s">
        <v>129</v>
      </c>
      <c r="M107" s="87" t="s">
        <v>1541</v>
      </c>
      <c r="N107" s="87" t="s">
        <v>1542</v>
      </c>
    </row>
    <row r="108" spans="1:14" ht="15.75" customHeight="1" x14ac:dyDescent="0.25">
      <c r="A108" s="84">
        <v>106</v>
      </c>
      <c r="B108" s="99" t="s">
        <v>88</v>
      </c>
      <c r="C108" s="99" t="s">
        <v>1721</v>
      </c>
      <c r="D108" s="99" t="s">
        <v>979</v>
      </c>
      <c r="E108" s="99" t="s">
        <v>54</v>
      </c>
      <c r="F108" s="99" t="s">
        <v>1543</v>
      </c>
      <c r="G108" s="100" t="s">
        <v>1544</v>
      </c>
      <c r="H108" s="99" t="s">
        <v>1545</v>
      </c>
      <c r="I108" s="99" t="s">
        <v>1546</v>
      </c>
      <c r="J108" s="101">
        <v>9005703</v>
      </c>
      <c r="K108" s="87" t="s">
        <v>1547</v>
      </c>
      <c r="L108" s="84" t="s">
        <v>129</v>
      </c>
      <c r="M108" s="87" t="s">
        <v>1541</v>
      </c>
      <c r="N108" s="87" t="s">
        <v>1542</v>
      </c>
    </row>
    <row r="109" spans="1:14" ht="15.75" customHeight="1" x14ac:dyDescent="0.25">
      <c r="A109" s="93">
        <v>107</v>
      </c>
      <c r="B109" s="99" t="s">
        <v>88</v>
      </c>
      <c r="C109" s="99" t="s">
        <v>1721</v>
      </c>
      <c r="D109" s="99" t="s">
        <v>979</v>
      </c>
      <c r="E109" s="99" t="s">
        <v>54</v>
      </c>
      <c r="F109" s="99" t="s">
        <v>1548</v>
      </c>
      <c r="G109" s="100" t="s">
        <v>1549</v>
      </c>
      <c r="H109" s="99" t="s">
        <v>1545</v>
      </c>
      <c r="I109" s="99" t="s">
        <v>1550</v>
      </c>
      <c r="J109" s="101">
        <v>9005704</v>
      </c>
      <c r="K109" s="111" t="s">
        <v>1551</v>
      </c>
      <c r="L109" s="84" t="s">
        <v>129</v>
      </c>
      <c r="M109" s="87" t="s">
        <v>1552</v>
      </c>
      <c r="N109" s="87" t="s">
        <v>1553</v>
      </c>
    </row>
    <row r="110" spans="1:14" ht="15.75" customHeight="1" x14ac:dyDescent="0.25">
      <c r="A110" s="84">
        <v>108</v>
      </c>
      <c r="B110" s="99" t="s">
        <v>88</v>
      </c>
      <c r="C110" s="99" t="s">
        <v>1721</v>
      </c>
      <c r="D110" s="99" t="s">
        <v>979</v>
      </c>
      <c r="E110" s="99" t="s">
        <v>54</v>
      </c>
      <c r="F110" s="99" t="s">
        <v>1554</v>
      </c>
      <c r="G110" s="100" t="s">
        <v>1555</v>
      </c>
      <c r="H110" s="99" t="s">
        <v>1545</v>
      </c>
      <c r="I110" s="99" t="s">
        <v>1556</v>
      </c>
      <c r="J110" s="101">
        <v>9005721</v>
      </c>
      <c r="K110" s="87" t="s">
        <v>536</v>
      </c>
      <c r="L110" s="84" t="s">
        <v>129</v>
      </c>
      <c r="M110" s="87" t="s">
        <v>1557</v>
      </c>
      <c r="N110" s="87" t="s">
        <v>1558</v>
      </c>
    </row>
    <row r="111" spans="1:14" ht="15.75" customHeight="1" x14ac:dyDescent="0.25">
      <c r="A111" s="93">
        <v>109</v>
      </c>
      <c r="B111" s="99" t="s">
        <v>73</v>
      </c>
      <c r="C111" s="99" t="s">
        <v>1720</v>
      </c>
      <c r="D111" s="99" t="s">
        <v>990</v>
      </c>
      <c r="E111" s="99" t="s">
        <v>77</v>
      </c>
      <c r="F111" s="99" t="s">
        <v>1559</v>
      </c>
      <c r="G111" s="100" t="s">
        <v>1560</v>
      </c>
      <c r="H111" s="84">
        <v>900336299</v>
      </c>
      <c r="I111" s="84">
        <v>95000651</v>
      </c>
      <c r="J111" s="84">
        <v>9010545</v>
      </c>
      <c r="K111" s="99" t="s">
        <v>1561</v>
      </c>
      <c r="L111" s="99"/>
      <c r="M111" s="84" t="s">
        <v>741</v>
      </c>
      <c r="N111" s="84" t="s">
        <v>742</v>
      </c>
    </row>
    <row r="112" spans="1:14" ht="15.75" customHeight="1" x14ac:dyDescent="0.25">
      <c r="A112" s="84">
        <v>110</v>
      </c>
      <c r="B112" s="99" t="s">
        <v>73</v>
      </c>
      <c r="C112" s="99" t="s">
        <v>1720</v>
      </c>
      <c r="D112" s="99" t="s">
        <v>979</v>
      </c>
      <c r="E112" s="99" t="s">
        <v>77</v>
      </c>
      <c r="F112" s="99" t="s">
        <v>1562</v>
      </c>
      <c r="G112" s="100" t="s">
        <v>1563</v>
      </c>
      <c r="H112" s="99" t="s">
        <v>1564</v>
      </c>
      <c r="I112" s="99" t="s">
        <v>1565</v>
      </c>
      <c r="J112" s="101">
        <v>9005720</v>
      </c>
      <c r="K112" s="83" t="s">
        <v>1566</v>
      </c>
      <c r="L112" s="87" t="s">
        <v>517</v>
      </c>
      <c r="M112" s="84" t="s">
        <v>1567</v>
      </c>
      <c r="N112" s="84" t="s">
        <v>1568</v>
      </c>
    </row>
    <row r="113" spans="1:14" ht="15.75" customHeight="1" x14ac:dyDescent="0.25">
      <c r="A113" s="93">
        <v>111</v>
      </c>
      <c r="B113" s="99" t="s">
        <v>73</v>
      </c>
      <c r="C113" s="99" t="s">
        <v>1720</v>
      </c>
      <c r="D113" s="99" t="s">
        <v>979</v>
      </c>
      <c r="E113" s="99" t="s">
        <v>77</v>
      </c>
      <c r="F113" s="99" t="s">
        <v>1569</v>
      </c>
      <c r="G113" s="100" t="s">
        <v>1570</v>
      </c>
      <c r="H113" s="99" t="s">
        <v>1564</v>
      </c>
      <c r="I113" s="99" t="s">
        <v>1571</v>
      </c>
      <c r="J113" s="101">
        <v>9005712</v>
      </c>
      <c r="K113" s="99" t="s">
        <v>1572</v>
      </c>
      <c r="L113" s="99" t="s">
        <v>19</v>
      </c>
      <c r="M113" s="84" t="s">
        <v>743</v>
      </c>
      <c r="N113" s="84" t="s">
        <v>744</v>
      </c>
    </row>
    <row r="114" spans="1:14" ht="15.75" customHeight="1" x14ac:dyDescent="0.25">
      <c r="A114" s="84">
        <v>112</v>
      </c>
      <c r="B114" s="99" t="s">
        <v>94</v>
      </c>
      <c r="C114" s="99" t="s">
        <v>1118</v>
      </c>
      <c r="D114" s="99" t="s">
        <v>979</v>
      </c>
      <c r="E114" s="99" t="s">
        <v>508</v>
      </c>
      <c r="F114" s="99" t="s">
        <v>1573</v>
      </c>
      <c r="G114" s="100" t="s">
        <v>1574</v>
      </c>
      <c r="H114" s="99" t="s">
        <v>1575</v>
      </c>
      <c r="I114" s="99" t="s">
        <v>1576</v>
      </c>
      <c r="J114" s="101">
        <v>9005671</v>
      </c>
      <c r="K114" s="99" t="s">
        <v>1577</v>
      </c>
      <c r="L114" s="99" t="s">
        <v>19</v>
      </c>
      <c r="M114" s="84" t="s">
        <v>1578</v>
      </c>
      <c r="N114" s="84" t="s">
        <v>1579</v>
      </c>
    </row>
    <row r="115" spans="1:14" ht="15.75" customHeight="1" x14ac:dyDescent="0.25">
      <c r="A115" s="93">
        <v>113</v>
      </c>
      <c r="B115" s="99" t="s">
        <v>96</v>
      </c>
      <c r="C115" s="99" t="s">
        <v>1580</v>
      </c>
      <c r="D115" s="99" t="s">
        <v>990</v>
      </c>
      <c r="E115" s="99" t="s">
        <v>77</v>
      </c>
      <c r="F115" s="99" t="s">
        <v>1581</v>
      </c>
      <c r="G115" s="100" t="s">
        <v>1582</v>
      </c>
      <c r="H115" s="84">
        <v>900334611</v>
      </c>
      <c r="I115" s="84">
        <v>95000629</v>
      </c>
      <c r="J115" s="84">
        <v>9006709</v>
      </c>
      <c r="K115" s="99" t="s">
        <v>1583</v>
      </c>
      <c r="L115" s="99"/>
      <c r="M115" s="85" t="s">
        <v>1584</v>
      </c>
      <c r="N115" s="85" t="s">
        <v>1585</v>
      </c>
    </row>
    <row r="116" spans="1:14" ht="15.75" customHeight="1" x14ac:dyDescent="0.25">
      <c r="A116" s="84">
        <v>114</v>
      </c>
      <c r="B116" s="99" t="s">
        <v>96</v>
      </c>
      <c r="C116" s="99" t="s">
        <v>1580</v>
      </c>
      <c r="D116" s="99" t="s">
        <v>990</v>
      </c>
      <c r="E116" s="99" t="s">
        <v>77</v>
      </c>
      <c r="F116" s="99" t="s">
        <v>1586</v>
      </c>
      <c r="G116" s="100" t="s">
        <v>1587</v>
      </c>
      <c r="H116" s="84">
        <v>900334611</v>
      </c>
      <c r="I116" s="84">
        <v>95000644</v>
      </c>
      <c r="J116" s="84">
        <v>9006711</v>
      </c>
      <c r="K116" s="99" t="s">
        <v>1588</v>
      </c>
      <c r="L116" s="99"/>
      <c r="M116" s="84" t="s">
        <v>1589</v>
      </c>
      <c r="N116" s="84" t="s">
        <v>1590</v>
      </c>
    </row>
    <row r="117" spans="1:14" ht="15.75" customHeight="1" x14ac:dyDescent="0.25">
      <c r="A117" s="93">
        <v>115</v>
      </c>
      <c r="B117" s="99" t="s">
        <v>96</v>
      </c>
      <c r="C117" s="99" t="s">
        <v>1580</v>
      </c>
      <c r="D117" s="99" t="s">
        <v>979</v>
      </c>
      <c r="E117" s="99" t="s">
        <v>77</v>
      </c>
      <c r="F117" s="99" t="s">
        <v>1591</v>
      </c>
      <c r="G117" s="100" t="s">
        <v>1592</v>
      </c>
      <c r="H117" s="99" t="s">
        <v>1593</v>
      </c>
      <c r="I117" s="99" t="s">
        <v>1594</v>
      </c>
      <c r="J117" s="101">
        <v>9005714</v>
      </c>
      <c r="K117" s="99" t="s">
        <v>1595</v>
      </c>
      <c r="L117" s="99"/>
      <c r="M117" s="85" t="s">
        <v>482</v>
      </c>
      <c r="N117" s="85" t="s">
        <v>481</v>
      </c>
    </row>
    <row r="118" spans="1:14" ht="15.75" customHeight="1" x14ac:dyDescent="0.25">
      <c r="A118" s="84">
        <v>116</v>
      </c>
      <c r="B118" s="99" t="s">
        <v>96</v>
      </c>
      <c r="C118" s="99" t="s">
        <v>1580</v>
      </c>
      <c r="D118" s="99" t="s">
        <v>979</v>
      </c>
      <c r="E118" s="99" t="s">
        <v>77</v>
      </c>
      <c r="F118" s="99" t="s">
        <v>1596</v>
      </c>
      <c r="G118" s="100" t="s">
        <v>1597</v>
      </c>
      <c r="H118" s="99" t="s">
        <v>1593</v>
      </c>
      <c r="I118" s="99" t="s">
        <v>1598</v>
      </c>
      <c r="J118" s="101">
        <v>9005713</v>
      </c>
      <c r="K118" s="99" t="s">
        <v>1599</v>
      </c>
      <c r="L118" s="99"/>
      <c r="M118" s="85" t="s">
        <v>1600</v>
      </c>
      <c r="N118" s="85" t="s">
        <v>1601</v>
      </c>
    </row>
    <row r="119" spans="1:14" ht="15.75" customHeight="1" x14ac:dyDescent="0.25">
      <c r="A119" s="93">
        <v>117</v>
      </c>
      <c r="B119" s="99" t="s">
        <v>97</v>
      </c>
      <c r="C119" s="99" t="s">
        <v>1602</v>
      </c>
      <c r="D119" s="99" t="s">
        <v>979</v>
      </c>
      <c r="E119" s="99" t="s">
        <v>77</v>
      </c>
      <c r="F119" s="99" t="s">
        <v>1603</v>
      </c>
      <c r="G119" s="102" t="s">
        <v>1604</v>
      </c>
      <c r="H119" s="77" t="s">
        <v>1605</v>
      </c>
      <c r="I119" s="77" t="s">
        <v>1606</v>
      </c>
      <c r="J119" s="103">
        <v>9005718</v>
      </c>
      <c r="K119" s="83" t="s">
        <v>1607</v>
      </c>
      <c r="L119" s="87" t="s">
        <v>19</v>
      </c>
      <c r="M119" s="79" t="s">
        <v>831</v>
      </c>
      <c r="N119" s="79" t="s">
        <v>832</v>
      </c>
    </row>
    <row r="120" spans="1:14" ht="15.75" customHeight="1" x14ac:dyDescent="0.25">
      <c r="A120" s="84">
        <v>118</v>
      </c>
      <c r="B120" s="99" t="s">
        <v>97</v>
      </c>
      <c r="C120" s="99" t="s">
        <v>1602</v>
      </c>
      <c r="D120" s="99" t="s">
        <v>979</v>
      </c>
      <c r="E120" s="99" t="s">
        <v>77</v>
      </c>
      <c r="F120" s="99" t="s">
        <v>1608</v>
      </c>
      <c r="G120" s="102" t="s">
        <v>1609</v>
      </c>
      <c r="H120" s="77" t="s">
        <v>1605</v>
      </c>
      <c r="I120" s="77" t="s">
        <v>1610</v>
      </c>
      <c r="J120" s="103">
        <v>9005710</v>
      </c>
      <c r="K120" s="83" t="s">
        <v>1611</v>
      </c>
      <c r="L120" s="87"/>
      <c r="M120" s="78" t="s">
        <v>829</v>
      </c>
      <c r="N120" s="78" t="s">
        <v>830</v>
      </c>
    </row>
    <row r="121" spans="1:14" ht="15.75" customHeight="1" x14ac:dyDescent="0.25">
      <c r="A121" s="93">
        <v>119</v>
      </c>
      <c r="B121" s="99" t="s">
        <v>97</v>
      </c>
      <c r="C121" s="99" t="s">
        <v>1602</v>
      </c>
      <c r="D121" s="99" t="s">
        <v>979</v>
      </c>
      <c r="E121" s="99" t="s">
        <v>77</v>
      </c>
      <c r="F121" s="99" t="s">
        <v>1612</v>
      </c>
      <c r="G121" s="102" t="s">
        <v>1613</v>
      </c>
      <c r="H121" s="77" t="s">
        <v>1605</v>
      </c>
      <c r="I121" s="77" t="s">
        <v>1614</v>
      </c>
      <c r="J121" s="103">
        <v>9005717</v>
      </c>
      <c r="K121" s="83" t="s">
        <v>1615</v>
      </c>
      <c r="L121" s="87"/>
      <c r="M121" s="78" t="s">
        <v>870</v>
      </c>
      <c r="N121" s="78" t="s">
        <v>871</v>
      </c>
    </row>
    <row r="122" spans="1:14" ht="15.75" customHeight="1" x14ac:dyDescent="0.25">
      <c r="A122" s="84">
        <v>120</v>
      </c>
      <c r="B122" s="99" t="s">
        <v>96</v>
      </c>
      <c r="C122" s="99" t="s">
        <v>1602</v>
      </c>
      <c r="D122" s="99" t="s">
        <v>979</v>
      </c>
      <c r="E122" s="99" t="s">
        <v>77</v>
      </c>
      <c r="F122" s="99" t="s">
        <v>1616</v>
      </c>
      <c r="G122" s="100" t="s">
        <v>1617</v>
      </c>
      <c r="H122" s="99" t="s">
        <v>1593</v>
      </c>
      <c r="I122" s="99" t="s">
        <v>1618</v>
      </c>
      <c r="J122" s="103">
        <v>9005715</v>
      </c>
      <c r="K122" s="83" t="s">
        <v>1607</v>
      </c>
      <c r="L122" s="87" t="s">
        <v>19</v>
      </c>
      <c r="M122" s="79" t="s">
        <v>831</v>
      </c>
      <c r="N122" s="79" t="s">
        <v>832</v>
      </c>
    </row>
    <row r="123" spans="1:14" ht="15.75" customHeight="1" x14ac:dyDescent="0.25">
      <c r="A123" s="93">
        <v>121</v>
      </c>
      <c r="B123" s="99" t="s">
        <v>100</v>
      </c>
      <c r="C123" s="99" t="s">
        <v>1619</v>
      </c>
      <c r="D123" s="99" t="s">
        <v>990</v>
      </c>
      <c r="E123" s="99" t="s">
        <v>42</v>
      </c>
      <c r="F123" s="99" t="s">
        <v>1620</v>
      </c>
      <c r="G123" s="100" t="s">
        <v>1621</v>
      </c>
      <c r="H123" s="84">
        <v>900332287</v>
      </c>
      <c r="I123" s="84">
        <v>95000575</v>
      </c>
      <c r="J123" s="84">
        <v>9006716</v>
      </c>
      <c r="K123" s="83" t="s">
        <v>1622</v>
      </c>
      <c r="L123" s="99" t="s">
        <v>1623</v>
      </c>
      <c r="M123" s="84" t="s">
        <v>1624</v>
      </c>
      <c r="N123" s="84" t="s">
        <v>1625</v>
      </c>
    </row>
    <row r="124" spans="1:14" ht="15.75" customHeight="1" x14ac:dyDescent="0.25">
      <c r="A124" s="84">
        <v>122</v>
      </c>
      <c r="B124" s="99" t="s">
        <v>100</v>
      </c>
      <c r="C124" s="99" t="s">
        <v>1619</v>
      </c>
      <c r="D124" s="99" t="s">
        <v>979</v>
      </c>
      <c r="E124" s="99" t="s">
        <v>42</v>
      </c>
      <c r="F124" s="99" t="s">
        <v>1626</v>
      </c>
      <c r="G124" s="100" t="s">
        <v>1627</v>
      </c>
      <c r="H124" s="99" t="s">
        <v>1628</v>
      </c>
      <c r="I124" s="99" t="s">
        <v>1629</v>
      </c>
      <c r="J124" s="101">
        <v>9005699</v>
      </c>
      <c r="K124" s="83" t="s">
        <v>1622</v>
      </c>
      <c r="L124" s="99" t="s">
        <v>1623</v>
      </c>
      <c r="M124" s="84" t="s">
        <v>1624</v>
      </c>
      <c r="N124" s="84" t="s">
        <v>1625</v>
      </c>
    </row>
    <row r="125" spans="1:14" ht="15.75" customHeight="1" x14ac:dyDescent="0.25">
      <c r="A125" s="93">
        <v>123</v>
      </c>
      <c r="B125" s="99" t="s">
        <v>100</v>
      </c>
      <c r="C125" s="99" t="s">
        <v>1619</v>
      </c>
      <c r="D125" s="99" t="s">
        <v>979</v>
      </c>
      <c r="E125" s="99" t="s">
        <v>42</v>
      </c>
      <c r="F125" s="99" t="s">
        <v>1630</v>
      </c>
      <c r="G125" s="100" t="s">
        <v>1631</v>
      </c>
      <c r="H125" s="99" t="s">
        <v>1628</v>
      </c>
      <c r="I125" s="99" t="s">
        <v>1632</v>
      </c>
      <c r="J125" s="101">
        <v>9005698</v>
      </c>
      <c r="K125" s="99" t="s">
        <v>1633</v>
      </c>
      <c r="L125" s="99" t="s">
        <v>34</v>
      </c>
      <c r="M125" s="84" t="s">
        <v>563</v>
      </c>
      <c r="N125" s="84" t="s">
        <v>562</v>
      </c>
    </row>
    <row r="126" spans="1:14" ht="15.75" customHeight="1" x14ac:dyDescent="0.25">
      <c r="A126" s="84">
        <v>124</v>
      </c>
      <c r="B126" s="99" t="s">
        <v>100</v>
      </c>
      <c r="C126" s="99" t="s">
        <v>1619</v>
      </c>
      <c r="D126" s="99" t="s">
        <v>979</v>
      </c>
      <c r="E126" s="99" t="s">
        <v>42</v>
      </c>
      <c r="F126" s="99" t="s">
        <v>1634</v>
      </c>
      <c r="G126" s="100" t="s">
        <v>1635</v>
      </c>
      <c r="H126" s="99" t="s">
        <v>1628</v>
      </c>
      <c r="I126" s="99" t="s">
        <v>1636</v>
      </c>
      <c r="J126" s="101">
        <v>9005669</v>
      </c>
      <c r="K126" s="83" t="s">
        <v>1622</v>
      </c>
      <c r="L126" s="99" t="s">
        <v>1623</v>
      </c>
      <c r="M126" s="84" t="s">
        <v>1624</v>
      </c>
      <c r="N126" s="84" t="s">
        <v>1625</v>
      </c>
    </row>
    <row r="127" spans="1:14" ht="15.75" customHeight="1" x14ac:dyDescent="0.25">
      <c r="A127" s="93">
        <v>125</v>
      </c>
      <c r="B127" s="99" t="s">
        <v>101</v>
      </c>
      <c r="C127" s="99" t="s">
        <v>1637</v>
      </c>
      <c r="D127" s="99" t="s">
        <v>990</v>
      </c>
      <c r="E127" s="99" t="s">
        <v>77</v>
      </c>
      <c r="F127" s="99" t="s">
        <v>1345</v>
      </c>
      <c r="G127" s="102" t="s">
        <v>1638</v>
      </c>
      <c r="H127" s="84">
        <v>900332417</v>
      </c>
      <c r="I127" s="84">
        <v>95000580</v>
      </c>
      <c r="J127" s="84">
        <v>9006714</v>
      </c>
      <c r="K127" s="99" t="s">
        <v>1639</v>
      </c>
      <c r="L127" s="94" t="s">
        <v>1640</v>
      </c>
      <c r="M127" s="84" t="s">
        <v>1641</v>
      </c>
      <c r="N127" s="84" t="s">
        <v>1642</v>
      </c>
    </row>
    <row r="128" spans="1:14" ht="15.75" customHeight="1" x14ac:dyDescent="0.25">
      <c r="A128" s="84">
        <v>126</v>
      </c>
      <c r="B128" s="99" t="s">
        <v>101</v>
      </c>
      <c r="C128" s="99" t="s">
        <v>1637</v>
      </c>
      <c r="D128" s="99" t="s">
        <v>979</v>
      </c>
      <c r="E128" s="99" t="s">
        <v>77</v>
      </c>
      <c r="F128" s="99" t="s">
        <v>1643</v>
      </c>
      <c r="G128" s="102" t="s">
        <v>1644</v>
      </c>
      <c r="H128" s="99" t="s">
        <v>1645</v>
      </c>
      <c r="I128" s="99" t="s">
        <v>1646</v>
      </c>
      <c r="J128" s="101">
        <v>9005719</v>
      </c>
      <c r="K128" s="99" t="s">
        <v>1647</v>
      </c>
      <c r="L128" s="99" t="s">
        <v>512</v>
      </c>
      <c r="M128" s="85" t="s">
        <v>962</v>
      </c>
      <c r="N128" s="85" t="s">
        <v>963</v>
      </c>
    </row>
    <row r="129" spans="1:14" ht="15.75" customHeight="1" x14ac:dyDescent="0.25">
      <c r="A129" s="93">
        <v>127</v>
      </c>
      <c r="B129" s="99" t="s">
        <v>106</v>
      </c>
      <c r="C129" s="99" t="s">
        <v>1648</v>
      </c>
      <c r="D129" s="99" t="s">
        <v>979</v>
      </c>
      <c r="E129" s="99" t="s">
        <v>506</v>
      </c>
      <c r="F129" s="99" t="s">
        <v>1649</v>
      </c>
      <c r="G129" s="100" t="s">
        <v>1650</v>
      </c>
      <c r="H129" s="99" t="s">
        <v>1651</v>
      </c>
      <c r="I129" s="99" t="s">
        <v>1652</v>
      </c>
      <c r="J129" s="101">
        <v>9005670</v>
      </c>
      <c r="K129" s="99" t="s">
        <v>1653</v>
      </c>
      <c r="L129" s="99" t="s">
        <v>1654</v>
      </c>
      <c r="M129" s="84" t="s">
        <v>1655</v>
      </c>
      <c r="N129" s="84" t="s">
        <v>1656</v>
      </c>
    </row>
    <row r="130" spans="1:14" ht="15.75" customHeight="1" x14ac:dyDescent="0.25">
      <c r="A130" s="84">
        <v>128</v>
      </c>
      <c r="B130" s="99" t="s">
        <v>106</v>
      </c>
      <c r="C130" s="99" t="s">
        <v>1648</v>
      </c>
      <c r="D130" s="99" t="s">
        <v>979</v>
      </c>
      <c r="E130" s="99" t="s">
        <v>506</v>
      </c>
      <c r="F130" s="99" t="s">
        <v>1657</v>
      </c>
      <c r="G130" s="100" t="s">
        <v>1658</v>
      </c>
      <c r="H130" s="99" t="s">
        <v>1651</v>
      </c>
      <c r="I130" s="99" t="s">
        <v>1659</v>
      </c>
      <c r="J130" s="101">
        <v>9005668</v>
      </c>
      <c r="K130" s="99" t="s">
        <v>1660</v>
      </c>
      <c r="L130" s="99" t="s">
        <v>19</v>
      </c>
      <c r="M130" s="84" t="s">
        <v>1661</v>
      </c>
      <c r="N130" s="84" t="s">
        <v>1662</v>
      </c>
    </row>
  </sheetData>
  <autoFilter ref="A2:N130" xr:uid="{00000000-0001-0000-0100-000000000000}"/>
  <mergeCells count="1">
    <mergeCell ref="B1:C1"/>
  </mergeCells>
  <conditionalFormatting sqref="F2:F20 F23:F130">
    <cfRule type="duplicateValues" dxfId="24" priority="38"/>
  </conditionalFormatting>
  <conditionalFormatting sqref="F21">
    <cfRule type="duplicateValues" dxfId="23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73DA6-188F-46E1-9712-269BB85ADC8D}">
  <dimension ref="B1:W3"/>
  <sheetViews>
    <sheetView workbookViewId="0">
      <selection activeCell="M11" sqref="M11"/>
    </sheetView>
  </sheetViews>
  <sheetFormatPr defaultRowHeight="15" x14ac:dyDescent="0.25"/>
  <cols>
    <col min="2" max="3" width="3.140625" bestFit="1" customWidth="1"/>
    <col min="4" max="5" width="6.85546875" bestFit="1" customWidth="1"/>
    <col min="6" max="6" width="15.140625" bestFit="1" customWidth="1"/>
    <col min="7" max="7" width="28.28515625" bestFit="1" customWidth="1"/>
    <col min="8" max="8" width="21.140625" bestFit="1" customWidth="1"/>
    <col min="9" max="9" width="20.140625" bestFit="1" customWidth="1"/>
    <col min="10" max="10" width="3.140625" bestFit="1" customWidth="1"/>
    <col min="12" max="12" width="8.28515625" bestFit="1" customWidth="1"/>
    <col min="13" max="13" width="8.140625" bestFit="1" customWidth="1"/>
    <col min="14" max="14" width="16.140625" bestFit="1" customWidth="1"/>
    <col min="15" max="15" width="10.7109375" bestFit="1" customWidth="1"/>
    <col min="16" max="16" width="6.85546875" bestFit="1" customWidth="1"/>
    <col min="17" max="17" width="36.85546875" bestFit="1" customWidth="1"/>
    <col min="18" max="18" width="12.7109375" bestFit="1" customWidth="1"/>
    <col min="20" max="21" width="9.5703125" bestFit="1" customWidth="1"/>
    <col min="22" max="23" width="21.42578125" bestFit="1" customWidth="1"/>
  </cols>
  <sheetData>
    <row r="1" spans="2:23" ht="15.75" thickBot="1" x14ac:dyDescent="0.3"/>
    <row r="2" spans="2:23" ht="43.5" thickBot="1" x14ac:dyDescent="0.3">
      <c r="B2" s="122" t="s">
        <v>0</v>
      </c>
      <c r="C2" s="122" t="s">
        <v>0</v>
      </c>
      <c r="D2" s="123" t="s">
        <v>6</v>
      </c>
      <c r="E2" s="123" t="s">
        <v>6</v>
      </c>
      <c r="F2" s="123" t="s">
        <v>511</v>
      </c>
      <c r="G2" s="123" t="s">
        <v>7</v>
      </c>
      <c r="H2" s="123"/>
      <c r="I2" s="124" t="s">
        <v>1</v>
      </c>
      <c r="J2" s="124" t="s">
        <v>503</v>
      </c>
      <c r="K2" s="124" t="s">
        <v>640</v>
      </c>
      <c r="L2" s="124" t="s">
        <v>8</v>
      </c>
      <c r="M2" s="124" t="s">
        <v>12</v>
      </c>
      <c r="N2" s="123" t="s">
        <v>4</v>
      </c>
      <c r="O2" s="123" t="s">
        <v>5</v>
      </c>
      <c r="P2" s="124" t="s">
        <v>6</v>
      </c>
      <c r="Q2" s="124" t="s">
        <v>9</v>
      </c>
      <c r="R2" s="124" t="s">
        <v>10</v>
      </c>
      <c r="S2" s="125"/>
      <c r="T2" s="91" t="s">
        <v>18</v>
      </c>
      <c r="U2" s="91" t="s">
        <v>17</v>
      </c>
      <c r="V2" s="125" t="s">
        <v>11</v>
      </c>
      <c r="W2" s="126"/>
    </row>
    <row r="3" spans="2:23" x14ac:dyDescent="0.25">
      <c r="B3" s="93">
        <v>1</v>
      </c>
      <c r="C3" s="93">
        <v>1</v>
      </c>
      <c r="D3" s="114" t="s">
        <v>160</v>
      </c>
      <c r="E3" s="114" t="s">
        <v>246</v>
      </c>
      <c r="F3" s="114" t="s">
        <v>131</v>
      </c>
      <c r="G3" s="119" t="s">
        <v>441</v>
      </c>
      <c r="H3" s="114" t="s">
        <v>166</v>
      </c>
      <c r="I3" s="93" t="s">
        <v>1675</v>
      </c>
      <c r="J3" s="93">
        <v>1</v>
      </c>
      <c r="K3" s="93"/>
      <c r="L3" s="98" t="s">
        <v>178</v>
      </c>
      <c r="M3" s="93">
        <v>493324</v>
      </c>
      <c r="N3" s="94" t="s">
        <v>1677</v>
      </c>
      <c r="O3" s="120" t="s">
        <v>1676</v>
      </c>
      <c r="P3" s="121" t="s">
        <v>160</v>
      </c>
      <c r="Q3" s="121" t="s">
        <v>727</v>
      </c>
      <c r="R3" s="121" t="s">
        <v>728</v>
      </c>
      <c r="S3" s="94"/>
      <c r="T3" s="98" t="s">
        <v>837</v>
      </c>
      <c r="U3" s="98" t="s">
        <v>838</v>
      </c>
      <c r="V3" s="94" t="s">
        <v>1678</v>
      </c>
      <c r="W3" s="94" t="s">
        <v>1679</v>
      </c>
    </row>
  </sheetData>
  <conditionalFormatting sqref="M2">
    <cfRule type="duplicateValues" dxfId="22" priority="2"/>
  </conditionalFormatting>
  <conditionalFormatting sqref="M3">
    <cfRule type="duplicateValues" dxfId="21" priority="6"/>
  </conditionalFormatting>
  <conditionalFormatting sqref="O2">
    <cfRule type="duplicateValues" dxfId="20" priority="1"/>
    <cfRule type="duplicateValues" dxfId="19" priority="3"/>
    <cfRule type="duplicateValues" dxfId="18" priority="4"/>
  </conditionalFormatting>
  <conditionalFormatting sqref="O3">
    <cfRule type="duplicateValues" dxfId="17" priority="5"/>
    <cfRule type="duplicateValues" dxfId="16" priority="7"/>
    <cfRule type="duplicateValues" dxfId="15" priority="8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AE568"/>
  <sheetViews>
    <sheetView view="pageBreakPreview" zoomScale="70" zoomScaleNormal="100" zoomScaleSheetLayoutView="70" workbookViewId="0">
      <selection activeCell="W8" sqref="W8"/>
    </sheetView>
  </sheetViews>
  <sheetFormatPr defaultRowHeight="15" x14ac:dyDescent="0.25"/>
  <cols>
    <col min="1" max="1" width="3.85546875" style="1" bestFit="1" customWidth="1"/>
    <col min="2" max="2" width="7.7109375" style="40" bestFit="1" customWidth="1"/>
    <col min="3" max="3" width="11" style="1" customWidth="1"/>
    <col min="4" max="4" width="29.42578125" style="5" customWidth="1"/>
    <col min="5" max="9" width="9.7109375" style="2" customWidth="1"/>
    <col min="10" max="10" width="9.7109375" style="7" customWidth="1"/>
    <col min="11" max="12" width="9.7109375" style="1" customWidth="1"/>
    <col min="13" max="14" width="9.7109375" style="2" customWidth="1"/>
    <col min="15" max="15" width="9.7109375" style="7" customWidth="1"/>
    <col min="16" max="20" width="9.7109375" style="2" customWidth="1"/>
    <col min="21" max="21" width="9.7109375" style="7" customWidth="1"/>
    <col min="22" max="27" width="12.5703125" style="37" customWidth="1"/>
    <col min="28" max="30" width="9.140625" style="37"/>
    <col min="31" max="31" width="9.140625" style="6"/>
    <col min="32" max="16384" width="9.140625" style="5"/>
  </cols>
  <sheetData>
    <row r="1" spans="1:31" ht="17.25" thickBot="1" x14ac:dyDescent="0.3">
      <c r="A1" s="227" t="s">
        <v>0</v>
      </c>
      <c r="B1" s="229" t="s">
        <v>6</v>
      </c>
      <c r="C1" s="231" t="s">
        <v>446</v>
      </c>
      <c r="D1" s="233" t="s">
        <v>447</v>
      </c>
      <c r="E1" s="220" t="s">
        <v>178</v>
      </c>
      <c r="F1" s="220"/>
      <c r="G1" s="220"/>
      <c r="H1" s="220"/>
      <c r="I1" s="220"/>
      <c r="J1" s="235"/>
      <c r="K1" s="220" t="s">
        <v>399</v>
      </c>
      <c r="L1" s="220"/>
      <c r="M1" s="220"/>
      <c r="N1" s="220"/>
      <c r="O1" s="220"/>
      <c r="P1" s="219" t="s">
        <v>413</v>
      </c>
      <c r="Q1" s="220"/>
      <c r="R1" s="220"/>
      <c r="S1" s="220"/>
      <c r="T1" s="220"/>
      <c r="U1" s="220"/>
      <c r="V1" s="217" t="s">
        <v>576</v>
      </c>
      <c r="W1" s="215" t="s">
        <v>577</v>
      </c>
      <c r="X1" s="215" t="s">
        <v>573</v>
      </c>
      <c r="Y1" s="215" t="s">
        <v>575</v>
      </c>
      <c r="Z1" s="215" t="s">
        <v>579</v>
      </c>
      <c r="AA1" s="215" t="s">
        <v>578</v>
      </c>
      <c r="AB1" s="39"/>
      <c r="AC1" s="39"/>
      <c r="AD1" s="39"/>
      <c r="AE1" s="10"/>
    </row>
    <row r="2" spans="1:31" ht="61.5" customHeight="1" thickBot="1" x14ac:dyDescent="0.3">
      <c r="A2" s="228"/>
      <c r="B2" s="230"/>
      <c r="C2" s="232"/>
      <c r="D2" s="234"/>
      <c r="E2" s="64" t="s">
        <v>87</v>
      </c>
      <c r="F2" s="75" t="s">
        <v>27</v>
      </c>
      <c r="G2" s="65" t="s">
        <v>14</v>
      </c>
      <c r="H2" s="65" t="s">
        <v>22</v>
      </c>
      <c r="I2" s="66" t="s">
        <v>634</v>
      </c>
      <c r="J2" s="67" t="s">
        <v>448</v>
      </c>
      <c r="K2" s="64" t="s">
        <v>14</v>
      </c>
      <c r="L2" s="65" t="s">
        <v>22</v>
      </c>
      <c r="M2" s="65" t="s">
        <v>27</v>
      </c>
      <c r="N2" s="66" t="s">
        <v>634</v>
      </c>
      <c r="O2" s="67" t="s">
        <v>448</v>
      </c>
      <c r="P2" s="13" t="s">
        <v>21</v>
      </c>
      <c r="Q2" s="11" t="s">
        <v>14</v>
      </c>
      <c r="R2" s="65" t="s">
        <v>22</v>
      </c>
      <c r="S2" s="76" t="s">
        <v>27</v>
      </c>
      <c r="T2" s="76" t="s">
        <v>31</v>
      </c>
      <c r="U2" s="12" t="s">
        <v>448</v>
      </c>
      <c r="V2" s="218"/>
      <c r="W2" s="216"/>
      <c r="X2" s="216"/>
      <c r="Y2" s="216"/>
      <c r="Z2" s="216"/>
      <c r="AA2" s="216"/>
      <c r="AB2" s="41"/>
      <c r="AC2" s="41"/>
      <c r="AD2" s="41"/>
      <c r="AE2" s="14"/>
    </row>
    <row r="3" spans="1:31" ht="15.75" customHeight="1" x14ac:dyDescent="0.25">
      <c r="A3" s="15">
        <v>1</v>
      </c>
      <c r="B3" s="16" t="s">
        <v>13</v>
      </c>
      <c r="C3" s="17" t="str">
        <f>VLOOKUP(B3,'жами банкоматлар 2025'!C:D,2,0)</f>
        <v>11087</v>
      </c>
      <c r="D3" s="18" t="str">
        <f>VLOOKUP(B3,'жами банкоматлар 2025'!C:F,4,0)</f>
        <v>Хонобод БХМ</v>
      </c>
      <c r="E3" s="60">
        <f>COUNTIFS('жами банкоматлар 2025'!$D:$D,$C3,'жами банкоматлар 2025'!$I:$I,"Humo",'жами банкоматлар 2025'!$G:$G,"CINEO C2040")</f>
        <v>0</v>
      </c>
      <c r="F3" s="61">
        <f>COUNTIFS('жами банкоматлар 2025'!$D:$D,$C3,'жами банкоматлар 2025'!$I:$I,"Humo",'жами банкоматлар 2025'!$G:$G,"CINEO C2070")</f>
        <v>0</v>
      </c>
      <c r="G3" s="61">
        <f>COUNTIFS('жами банкоматлар 2025'!$D:$D,$C3,'жами банкоматлар 2025'!$I:$I,"Humo",'жами банкоматлар 2025'!$G:$G,"NCR 6623")</f>
        <v>0</v>
      </c>
      <c r="H3" s="61">
        <f>COUNTIFS('жами банкоматлар 2025'!$D:$D,$C3,'жами банкоматлар 2025'!$I:$I,"Humo",'жами банкоматлар 2025'!$G:$G,"NCR 6682")</f>
        <v>0</v>
      </c>
      <c r="I3" s="62">
        <f>COUNTIFS('жами банкоматлар 2025'!$D:$D,$C3,'жами банкоматлар 2025'!$I:$I,"Humo",'жами банкоматлар 2025'!$G:$G,"GRG P5800")</f>
        <v>0</v>
      </c>
      <c r="J3" s="63">
        <f>+E3+F3+G3+H3+I3</f>
        <v>0</v>
      </c>
      <c r="K3" s="60">
        <f>COUNTIFS('жами банкоматлар 2025'!$D:$D,$C3,'жами банкоматлар 2025'!$I:$I,"Way4",'жами банкоматлар 2025'!$G:$G,"NCR 6623")</f>
        <v>0</v>
      </c>
      <c r="L3" s="25">
        <f>COUNTIFS('жами банкоматлар 2025'!$D:$D,$C3,'жами банкоматлар 2025'!$I:$I,"Way4",'жами банкоматлар 2025'!$G:$G,"NCR 6682")</f>
        <v>0</v>
      </c>
      <c r="M3" s="61">
        <f>COUNTIFS('жами банкоматлар 2025'!$D:$D,$C3,'жами банкоматлар 2025'!$I:$I,"Way4",'жами банкоматлар 2025'!$G:$G,"CINEO C2070")</f>
        <v>0</v>
      </c>
      <c r="N3" s="62">
        <f>COUNTIFS('жами банкоматлар 2025'!$D:$D,$C3,'жами банкоматлар 2025'!$I:$I,"Way4",'жами банкоматлар 2025'!$G:$G,"GRG P5800")</f>
        <v>0</v>
      </c>
      <c r="O3" s="63">
        <f t="shared" ref="O3:O45" si="0">+K3+L3+M3+N3</f>
        <v>0</v>
      </c>
      <c r="P3" s="19">
        <f>COUNTIFS('жами банкоматлар 2025'!$D:$D,$C3,'жами банкоматлар 2025'!$I:$I,"UzCard",'жами банкоматлар 2025'!$G:$G,"NCR 6622")</f>
        <v>0</v>
      </c>
      <c r="Q3" s="20">
        <f>COUNTIFS('жами банкоматлар 2025'!$D:$D,$C3,'жами банкоматлар 2025'!$I:$I,"UzCard",'жами банкоматлар 2025'!$G:$G,"NCR 6623")</f>
        <v>1</v>
      </c>
      <c r="R3" s="26">
        <f>COUNTIFS('жами банкоматлар 2025'!$D:$D,$C3,'жами банкоматлар 2025'!$I:$I,"UzCard",'жами банкоматлар 2025'!$G:$G,"NCR 6682")</f>
        <v>0</v>
      </c>
      <c r="S3" s="20">
        <f>COUNTIFS('жами банкоматлар 2025'!$D:$D,$C3,'жами банкоматлар 2025'!$I:$I,"UzCard",'жами банкоматлар 2025'!$G:$G,"CINEO C2070")</f>
        <v>0</v>
      </c>
      <c r="T3" s="20">
        <f>COUNTIFS('жами банкоматлар 2025'!$D:$D,$C3,'жами банкоматлар 2025'!$I:$I,"UzCard",'жами банкоматлар 2025'!$G:$G,"CINEO C4560")</f>
        <v>0</v>
      </c>
      <c r="U3" s="21">
        <f t="shared" ref="U3:U50" si="1">+P3+Q3+S3+T3</f>
        <v>1</v>
      </c>
      <c r="V3" s="44">
        <f t="shared" ref="V3:V28" si="2">+U3+O3+J3</f>
        <v>1</v>
      </c>
      <c r="W3" s="45">
        <v>2</v>
      </c>
      <c r="X3" s="44">
        <v>148</v>
      </c>
      <c r="Y3" s="50">
        <v>215</v>
      </c>
      <c r="Z3" s="54">
        <v>1</v>
      </c>
      <c r="AA3" s="44">
        <v>1</v>
      </c>
      <c r="AB3" s="42"/>
      <c r="AC3" s="42"/>
      <c r="AD3" s="42"/>
      <c r="AE3" s="22"/>
    </row>
    <row r="4" spans="1:31" ht="15.75" x14ac:dyDescent="0.25">
      <c r="A4" s="23">
        <v>2</v>
      </c>
      <c r="B4" s="24" t="s">
        <v>20</v>
      </c>
      <c r="C4" s="17">
        <v>11081</v>
      </c>
      <c r="D4" s="18" t="s">
        <v>1745</v>
      </c>
      <c r="E4" s="25">
        <f>COUNTIFS('жами банкоматлар 2025'!$D:$D,$C4,'жами банкоматлар 2025'!$I:$I,"Humo",'жами банкоматлар 2025'!$G:$G,"CINEO C2040")</f>
        <v>0</v>
      </c>
      <c r="F4" s="26">
        <f>COUNTIFS('жами банкоматлар 2025'!$D:$D,$C4,'жами банкоматлар 2025'!$I:$I,"Humo",'жами банкоматлар 2025'!$G:$G,"CINEO C2070")</f>
        <v>0</v>
      </c>
      <c r="G4" s="26">
        <f>COUNTIFS('жами банкоматлар 2025'!$D:$D,$C4,'жами банкоматлар 2025'!$I:$I,"Humo",'жами банкоматлар 2025'!$G:$G,"NCR 6623")</f>
        <v>0</v>
      </c>
      <c r="H4" s="26">
        <f>COUNTIFS('жами банкоматлар 2025'!$D:$D,$C4,'жами банкоматлар 2025'!$I:$I,"Humo",'жами банкоматлар 2025'!$G:$G,"NCR 6682")</f>
        <v>0</v>
      </c>
      <c r="I4" s="58">
        <f>COUNTIFS('жами банкоматлар 2025'!$D:$D,$C4,'жами банкоматлар 2025'!$I:$I,"Humo",'жами банкоматлар 2025'!$G:$G,"GRG P5800")</f>
        <v>0</v>
      </c>
      <c r="J4" s="27">
        <f t="shared" ref="J4:J50" si="3">+E4+F4+G4+H4+I4</f>
        <v>0</v>
      </c>
      <c r="K4" s="25">
        <f>COUNTIFS('жами банкоматлар 2025'!$D:$D,$C4,'жами банкоматлар 2025'!$I:$I,"Way4",'жами банкоматлар 2025'!$G:$G,"NCR 6623")</f>
        <v>0</v>
      </c>
      <c r="L4" s="25">
        <f>COUNTIFS('жами банкоматлар 2025'!$D:$D,$C4,'жами банкоматлар 2025'!$I:$I,"Way4",'жами банкоматлар 2025'!$G:$G,"NCR 6682")</f>
        <v>0</v>
      </c>
      <c r="M4" s="26">
        <f>COUNTIFS('жами банкоматлар 2025'!$D:$D,$C4,'жами банкоматлар 2025'!$I:$I,"Way4",'жами банкоматлар 2025'!$G:$G,"CINEO C2070")</f>
        <v>0</v>
      </c>
      <c r="N4" s="58">
        <f>COUNTIFS('жами банкоматлар 2025'!$D:$D,$C4,'жами банкоматлар 2025'!$I:$I,"Way4",'жами банкоматлар 2025'!$G:$G,"GRG P5800")</f>
        <v>0</v>
      </c>
      <c r="O4" s="27">
        <f t="shared" si="0"/>
        <v>0</v>
      </c>
      <c r="P4" s="25">
        <f>COUNTIFS('жами банкоматлар 2025'!$D:$D,$C4,'жами банкоматлар 2025'!$I:$I,"UzCard",'жами банкоматлар 2025'!$G:$G,"NCR 6622")</f>
        <v>0</v>
      </c>
      <c r="Q4" s="26">
        <f>COUNTIFS('жами банкоматлар 2025'!$D:$D,$C4,'жами банкоматлар 2025'!$I:$I,"UzCard",'жами банкоматлар 2025'!$G:$G,"NCR 6623")</f>
        <v>0</v>
      </c>
      <c r="R4" s="26">
        <f>COUNTIFS('жами банкоматлар 2025'!$D:$D,$C4,'жами банкоматлар 2025'!$I:$I,"UzCard",'жами банкоматлар 2025'!$G:$G,"NCR 6682")</f>
        <v>0</v>
      </c>
      <c r="S4" s="26">
        <f>COUNTIFS('жами банкоматлар 2025'!$D:$D,$C4,'жами банкоматлар 2025'!$I:$I,"UzCard",'жами банкоматлар 2025'!$G:$G,"CINEO C2070")</f>
        <v>0</v>
      </c>
      <c r="T4" s="26">
        <f>COUNTIFS('жами банкоматлар 2025'!$D:$D,$C4,'жами банкоматлар 2025'!$I:$I,"UzCard",'жами банкоматлар 2025'!$G:$G,"CINEO C4560")</f>
        <v>0</v>
      </c>
      <c r="U4" s="27">
        <f t="shared" si="1"/>
        <v>0</v>
      </c>
      <c r="V4" s="46">
        <f t="shared" si="2"/>
        <v>0</v>
      </c>
      <c r="W4" s="47">
        <v>3</v>
      </c>
      <c r="X4" s="46">
        <v>173</v>
      </c>
      <c r="Y4" s="51">
        <v>425</v>
      </c>
      <c r="Z4" s="55">
        <v>1</v>
      </c>
      <c r="AA4" s="46">
        <v>1</v>
      </c>
      <c r="AB4" s="42"/>
      <c r="AC4" s="42"/>
      <c r="AD4" s="42"/>
      <c r="AE4" s="22"/>
    </row>
    <row r="5" spans="1:31" ht="15.75" x14ac:dyDescent="0.25">
      <c r="A5" s="23">
        <v>3</v>
      </c>
      <c r="B5" s="24" t="s">
        <v>25</v>
      </c>
      <c r="C5" s="160" t="s">
        <v>1723</v>
      </c>
      <c r="D5" s="18" t="s">
        <v>1001</v>
      </c>
      <c r="E5" s="25">
        <f>COUNTIFS('жами банкоматлар 2025'!$D:$D,$C5,'жами банкоматлар 2025'!$I:$I,"Humo",'жами банкоматлар 2025'!$G:$G,"CINEO C2040")</f>
        <v>0</v>
      </c>
      <c r="F5" s="26">
        <f>COUNTIFS('жами банкоматлар 2025'!$D:$D,$C5,'жами банкоматлар 2025'!$I:$I,"Humo",'жами банкоматлар 2025'!$G:$G,"CINEO C2070")</f>
        <v>0</v>
      </c>
      <c r="G5" s="26">
        <f>COUNTIFS('жами банкоматлар 2025'!$D:$D,$C5,'жами банкоматлар 2025'!$I:$I,"Humo",'жами банкоматлар 2025'!$G:$G,"NCR 6623")</f>
        <v>0</v>
      </c>
      <c r="H5" s="26">
        <f>COUNTIFS('жами банкоматлар 2025'!$D:$D,$C5,'жами банкоматлар 2025'!$I:$I,"Humo",'жами банкоматлар 2025'!$G:$G,"NCR 6682")</f>
        <v>0</v>
      </c>
      <c r="I5" s="58">
        <f>COUNTIFS('жами банкоматлар 2025'!$D:$D,$C5,'жами банкоматлар 2025'!$I:$I,"Humo",'жами банкоматлар 2025'!$G:$G,"GRG P5800")</f>
        <v>0</v>
      </c>
      <c r="J5" s="27">
        <f t="shared" si="3"/>
        <v>0</v>
      </c>
      <c r="K5" s="25">
        <f>COUNTIFS('жами банкоматлар 2025'!$D:$D,$C5,'жами банкоматлар 2025'!$I:$I,"Way4",'жами банкоматлар 2025'!$G:$G,"NCR 6623")</f>
        <v>0</v>
      </c>
      <c r="L5" s="25">
        <f>COUNTIFS('жами банкоматлар 2025'!$D:$D,$C5,'жами банкоматлар 2025'!$I:$I,"Way4",'жами банкоматлар 2025'!$G:$G,"NCR 6682")</f>
        <v>0</v>
      </c>
      <c r="M5" s="26">
        <f>COUNTIFS('жами банкоматлар 2025'!$D:$D,$C5,'жами банкоматлар 2025'!$I:$I,"Way4",'жами банкоматлар 2025'!$G:$G,"CINEO C2070")</f>
        <v>0</v>
      </c>
      <c r="N5" s="58">
        <f>COUNTIFS('жами банкоматлар 2025'!$D:$D,$C5,'жами банкоматлар 2025'!$I:$I,"Way4",'жами банкоматлар 2025'!$G:$G,"GRG P5800")</f>
        <v>0</v>
      </c>
      <c r="O5" s="27">
        <f t="shared" si="0"/>
        <v>0</v>
      </c>
      <c r="P5" s="25">
        <f>COUNTIFS('жами банкоматлар 2025'!$D:$D,$C5,'жами банкоматлар 2025'!$I:$I,"UzCard",'жами банкоматлар 2025'!$G:$G,"NCR 6622")</f>
        <v>0</v>
      </c>
      <c r="Q5" s="26">
        <f>COUNTIFS('жами банкоматлар 2025'!$D:$D,$C5,'жами банкоматлар 2025'!$I:$I,"UzCard",'жами банкоматлар 2025'!$G:$G,"NCR 6623")</f>
        <v>0</v>
      </c>
      <c r="R5" s="26">
        <f>COUNTIFS('жами банкоматлар 2025'!$D:$D,$C5,'жами банкоматлар 2025'!$I:$I,"UzCard",'жами банкоматлар 2025'!$G:$G,"NCR 6682")</f>
        <v>0</v>
      </c>
      <c r="S5" s="26">
        <f>COUNTIFS('жами банкоматлар 2025'!$D:$D,$C5,'жами банкоматлар 2025'!$I:$I,"UzCard",'жами банкоматлар 2025'!$G:$G,"CINEO C2070")</f>
        <v>0</v>
      </c>
      <c r="T5" s="26">
        <f>COUNTIFS('жами банкоматлар 2025'!$D:$D,$C5,'жами банкоматлар 2025'!$I:$I,"UzCard",'жами банкоматлар 2025'!$G:$G,"CINEO C4560")</f>
        <v>0</v>
      </c>
      <c r="U5" s="27">
        <f t="shared" si="1"/>
        <v>0</v>
      </c>
      <c r="V5" s="46">
        <f t="shared" si="2"/>
        <v>0</v>
      </c>
      <c r="W5" s="47">
        <v>5</v>
      </c>
      <c r="X5" s="46">
        <v>176</v>
      </c>
      <c r="Y5" s="51">
        <v>217</v>
      </c>
      <c r="Z5" s="55">
        <v>0</v>
      </c>
      <c r="AA5" s="46">
        <v>1</v>
      </c>
      <c r="AB5" s="42"/>
      <c r="AC5" s="42"/>
      <c r="AD5" s="42"/>
      <c r="AE5" s="22"/>
    </row>
    <row r="6" spans="1:31" ht="15.75" x14ac:dyDescent="0.25">
      <c r="A6" s="15">
        <v>4</v>
      </c>
      <c r="B6" s="24" t="s">
        <v>26</v>
      </c>
      <c r="C6" s="17" t="e">
        <f>VLOOKUP(B6,'жами банкоматлар 2025'!C:D,2,0)</f>
        <v>#N/A</v>
      </c>
      <c r="D6" s="18" t="e">
        <f>VLOOKUP(B6,'жами банкоматлар 2025'!C:F,4,0)</f>
        <v>#N/A</v>
      </c>
      <c r="E6" s="25">
        <f>COUNTIFS('жами банкоматлар 2025'!$D:$D,$C6,'жами банкоматлар 2025'!$I:$I,"Humo",'жами банкоматлар 2025'!$G:$G,"CINEO C2040")</f>
        <v>0</v>
      </c>
      <c r="F6" s="26">
        <f>COUNTIFS('жами банкоматлар 2025'!$D:$D,$C6,'жами банкоматлар 2025'!$I:$I,"Humo",'жами банкоматлар 2025'!$G:$G,"CINEO C2070")</f>
        <v>0</v>
      </c>
      <c r="G6" s="26">
        <f>COUNTIFS('жами банкоматлар 2025'!$D:$D,$C6,'жами банкоматлар 2025'!$I:$I,"Humo",'жами банкоматлар 2025'!$G:$G,"NCR 6623")</f>
        <v>0</v>
      </c>
      <c r="H6" s="26">
        <f>COUNTIFS('жами банкоматлар 2025'!$D:$D,$C6,'жами банкоматлар 2025'!$I:$I,"Humo",'жами банкоматлар 2025'!$G:$G,"NCR 6682")</f>
        <v>0</v>
      </c>
      <c r="I6" s="58">
        <f>COUNTIFS('жами банкоматлар 2025'!$D:$D,$C6,'жами банкоматлар 2025'!$I:$I,"Humo",'жами банкоматлар 2025'!$G:$G,"GRG P5800")</f>
        <v>0</v>
      </c>
      <c r="J6" s="27">
        <f t="shared" si="3"/>
        <v>0</v>
      </c>
      <c r="K6" s="25">
        <f>COUNTIFS('жами банкоматлар 2025'!$D:$D,$C6,'жами банкоматлар 2025'!$I:$I,"Way4",'жами банкоматлар 2025'!$G:$G,"NCR 6623")</f>
        <v>0</v>
      </c>
      <c r="L6" s="25">
        <f>COUNTIFS('жами банкоматлар 2025'!$D:$D,$C6,'жами банкоматлар 2025'!$I:$I,"Way4",'жами банкоматлар 2025'!$G:$G,"NCR 6682")</f>
        <v>0</v>
      </c>
      <c r="M6" s="26">
        <f>COUNTIFS('жами банкоматлар 2025'!$D:$D,$C6,'жами банкоматлар 2025'!$I:$I,"Way4",'жами банкоматлар 2025'!$G:$G,"CINEO C2070")</f>
        <v>0</v>
      </c>
      <c r="N6" s="58">
        <f>COUNTIFS('жами банкоматлар 2025'!$D:$D,$C6,'жами банкоматлар 2025'!$I:$I,"Way4",'жами банкоматлар 2025'!$G:$G,"GRG P5800")</f>
        <v>0</v>
      </c>
      <c r="O6" s="27">
        <f t="shared" si="0"/>
        <v>0</v>
      </c>
      <c r="P6" s="25">
        <f>COUNTIFS('жами банкоматлар 2025'!$D:$D,$C6,'жами банкоматлар 2025'!$I:$I,"UzCard",'жами банкоматлар 2025'!$G:$G,"NCR 6622")</f>
        <v>0</v>
      </c>
      <c r="Q6" s="26">
        <f>COUNTIFS('жами банкоматлар 2025'!$D:$D,$C6,'жами банкоматлар 2025'!$I:$I,"UzCard",'жами банкоматлар 2025'!$G:$G,"NCR 6623")</f>
        <v>0</v>
      </c>
      <c r="R6" s="26">
        <f>COUNTIFS('жами банкоматлар 2025'!$D:$D,$C6,'жами банкоматлар 2025'!$I:$I,"UzCard",'жами банкоматлар 2025'!$G:$G,"NCR 6682")</f>
        <v>0</v>
      </c>
      <c r="S6" s="26">
        <f>COUNTIFS('жами банкоматлар 2025'!$D:$D,$C6,'жами банкоматлар 2025'!$I:$I,"UzCard",'жами банкоматлар 2025'!$G:$G,"CINEO C2070")</f>
        <v>0</v>
      </c>
      <c r="T6" s="26">
        <f>COUNTIFS('жами банкоматлар 2025'!$D:$D,$C6,'жами банкоматлар 2025'!$I:$I,"UzCard",'жами банкоматлар 2025'!$G:$G,"CINEO C4560")</f>
        <v>0</v>
      </c>
      <c r="U6" s="27">
        <f t="shared" si="1"/>
        <v>0</v>
      </c>
      <c r="V6" s="46">
        <f t="shared" si="2"/>
        <v>0</v>
      </c>
      <c r="W6" s="47">
        <v>3</v>
      </c>
      <c r="X6" s="46">
        <v>250</v>
      </c>
      <c r="Y6" s="51">
        <v>215</v>
      </c>
      <c r="Z6" s="55">
        <v>1</v>
      </c>
      <c r="AA6" s="46">
        <v>1</v>
      </c>
      <c r="AB6" s="42"/>
      <c r="AC6" s="42"/>
      <c r="AD6" s="42"/>
      <c r="AE6" s="22"/>
    </row>
    <row r="7" spans="1:31" ht="15.75" x14ac:dyDescent="0.25">
      <c r="A7" s="23">
        <v>5</v>
      </c>
      <c r="B7" s="24" t="s">
        <v>30</v>
      </c>
      <c r="C7" s="17">
        <v>10852</v>
      </c>
      <c r="D7" s="18" t="s">
        <v>1746</v>
      </c>
      <c r="E7" s="25">
        <f>COUNTIFS('жами банкоматлар 2025'!$D:$D,$C7,'жами банкоматлар 2025'!$I:$I,"Humo",'жами банкоматлар 2025'!$G:$G,"CINEO C2040")</f>
        <v>0</v>
      </c>
      <c r="F7" s="26">
        <f>COUNTIFS('жами банкоматлар 2025'!$D:$D,$C7,'жами банкоматлар 2025'!$I:$I,"Humo",'жами банкоматлар 2025'!$G:$G,"CINEO C2070")</f>
        <v>0</v>
      </c>
      <c r="G7" s="26">
        <f>COUNTIFS('жами банкоматлар 2025'!$D:$D,$C7,'жами банкоматлар 2025'!$I:$I,"Humo",'жами банкоматлар 2025'!$G:$G,"NCR 6623")</f>
        <v>0</v>
      </c>
      <c r="H7" s="26">
        <f>COUNTIFS('жами банкоматлар 2025'!$D:$D,$C7,'жами банкоматлар 2025'!$I:$I,"Humo",'жами банкоматлар 2025'!$G:$G,"NCR 6682")</f>
        <v>0</v>
      </c>
      <c r="I7" s="58">
        <f>COUNTIFS('жами банкоматлар 2025'!$D:$D,$C7,'жами банкоматлар 2025'!$I:$I,"Humo",'жами банкоматлар 2025'!$G:$G,"GRG P5800")</f>
        <v>0</v>
      </c>
      <c r="J7" s="27">
        <f t="shared" si="3"/>
        <v>0</v>
      </c>
      <c r="K7" s="25">
        <f>COUNTIFS('жами банкоматлар 2025'!$D:$D,$C7,'жами банкоматлар 2025'!$I:$I,"Way4",'жами банкоматлар 2025'!$G:$G,"NCR 6623")</f>
        <v>0</v>
      </c>
      <c r="L7" s="25">
        <f>COUNTIFS('жами банкоматлар 2025'!$D:$D,$C7,'жами банкоматлар 2025'!$I:$I,"Way4",'жами банкоматлар 2025'!$G:$G,"NCR 6682")</f>
        <v>0</v>
      </c>
      <c r="M7" s="26">
        <f>COUNTIFS('жами банкоматлар 2025'!$D:$D,$C7,'жами банкоматлар 2025'!$I:$I,"Way4",'жами банкоматлар 2025'!$G:$G,"CINEO C2070")</f>
        <v>0</v>
      </c>
      <c r="N7" s="58">
        <f>COUNTIFS('жами банкоматлар 2025'!$D:$D,$C7,'жами банкоматлар 2025'!$I:$I,"Way4",'жами банкоматлар 2025'!$G:$G,"GRG P5800")</f>
        <v>0</v>
      </c>
      <c r="O7" s="27">
        <f t="shared" si="0"/>
        <v>0</v>
      </c>
      <c r="P7" s="25">
        <f>COUNTIFS('жами банкоматлар 2025'!$D:$D,$C7,'жами банкоматлар 2025'!$I:$I,"UzCard",'жами банкоматлар 2025'!$G:$G,"NCR 6622")</f>
        <v>0</v>
      </c>
      <c r="Q7" s="26">
        <f>COUNTIFS('жами банкоматлар 2025'!$D:$D,$C7,'жами банкоматлар 2025'!$I:$I,"UzCard",'жами банкоматлар 2025'!$G:$G,"NCR 6623")</f>
        <v>0</v>
      </c>
      <c r="R7" s="26">
        <f>COUNTIFS('жами банкоматлар 2025'!$D:$D,$C7,'жами банкоматлар 2025'!$I:$I,"UzCard",'жами банкоматлар 2025'!$G:$G,"NCR 6682")</f>
        <v>0</v>
      </c>
      <c r="S7" s="26">
        <f>COUNTIFS('жами банкоматлар 2025'!$D:$D,$C7,'жами банкоматлар 2025'!$I:$I,"UzCard",'жами банкоматлар 2025'!$G:$G,"CINEO C2070")</f>
        <v>0</v>
      </c>
      <c r="T7" s="26">
        <f>COUNTIFS('жами банкоматлар 2025'!$D:$D,$C7,'жами банкоматлар 2025'!$I:$I,"UzCard",'жами банкоматлар 2025'!$G:$G,"CINEO C4560")</f>
        <v>0</v>
      </c>
      <c r="U7" s="27">
        <f t="shared" si="1"/>
        <v>0</v>
      </c>
      <c r="V7" s="46">
        <f t="shared" si="2"/>
        <v>0</v>
      </c>
      <c r="W7" s="47">
        <v>1</v>
      </c>
      <c r="X7" s="46">
        <v>555</v>
      </c>
      <c r="Y7" s="51">
        <v>599</v>
      </c>
      <c r="Z7" s="55">
        <v>1</v>
      </c>
      <c r="AA7" s="46">
        <v>1</v>
      </c>
      <c r="AB7" s="42"/>
      <c r="AC7" s="42"/>
      <c r="AD7" s="42"/>
      <c r="AE7" s="22"/>
    </row>
    <row r="8" spans="1:31" ht="15.75" x14ac:dyDescent="0.25">
      <c r="A8" s="23">
        <v>6</v>
      </c>
      <c r="B8" s="24" t="s">
        <v>33</v>
      </c>
      <c r="C8" s="17" t="e">
        <f>VLOOKUP(B8,'жами банкоматлар 2025'!C:D,2,0)</f>
        <v>#N/A</v>
      </c>
      <c r="D8" s="18" t="e">
        <f>VLOOKUP(B8,'жами банкоматлар 2025'!C:F,4,0)</f>
        <v>#N/A</v>
      </c>
      <c r="E8" s="25">
        <f>COUNTIFS('жами банкоматлар 2025'!$D:$D,$C8,'жами банкоматлар 2025'!$I:$I,"Humo",'жами банкоматлар 2025'!$G:$G,"CINEO C2040")</f>
        <v>0</v>
      </c>
      <c r="F8" s="26">
        <f>COUNTIFS('жами банкоматлар 2025'!$D:$D,$C8,'жами банкоматлар 2025'!$I:$I,"Humo",'жами банкоматлар 2025'!$G:$G,"CINEO C2070")</f>
        <v>0</v>
      </c>
      <c r="G8" s="26">
        <f>COUNTIFS('жами банкоматлар 2025'!$D:$D,$C8,'жами банкоматлар 2025'!$I:$I,"Humo",'жами банкоматлар 2025'!$G:$G,"NCR 6623")</f>
        <v>0</v>
      </c>
      <c r="H8" s="26">
        <f>COUNTIFS('жами банкоматлар 2025'!$D:$D,$C8,'жами банкоматлар 2025'!$I:$I,"Humo",'жами банкоматлар 2025'!$G:$G,"NCR 6682")</f>
        <v>0</v>
      </c>
      <c r="I8" s="58">
        <f>COUNTIFS('жами банкоматлар 2025'!$D:$D,$C8,'жами банкоматлар 2025'!$I:$I,"Humo",'жами банкоматлар 2025'!$G:$G,"GRG P5800")</f>
        <v>0</v>
      </c>
      <c r="J8" s="27">
        <f t="shared" si="3"/>
        <v>0</v>
      </c>
      <c r="K8" s="25">
        <f>COUNTIFS('жами банкоматлар 2025'!$D:$D,$C8,'жами банкоматлар 2025'!$I:$I,"Way4",'жами банкоматлар 2025'!$G:$G,"NCR 6623")</f>
        <v>0</v>
      </c>
      <c r="L8" s="25">
        <f>COUNTIFS('жами банкоматлар 2025'!$D:$D,$C8,'жами банкоматлар 2025'!$I:$I,"Way4",'жами банкоматлар 2025'!$G:$G,"NCR 6682")</f>
        <v>0</v>
      </c>
      <c r="M8" s="26">
        <f>COUNTIFS('жами банкоматлар 2025'!$D:$D,$C8,'жами банкоматлар 2025'!$I:$I,"Way4",'жами банкоматлар 2025'!$G:$G,"CINEO C2070")</f>
        <v>0</v>
      </c>
      <c r="N8" s="58">
        <f>COUNTIFS('жами банкоматлар 2025'!$D:$D,$C8,'жами банкоматлар 2025'!$I:$I,"Way4",'жами банкоматлар 2025'!$G:$G,"GRG P5800")</f>
        <v>0</v>
      </c>
      <c r="O8" s="27">
        <f t="shared" si="0"/>
        <v>0</v>
      </c>
      <c r="P8" s="25">
        <f>COUNTIFS('жами банкоматлар 2025'!$D:$D,$C8,'жами банкоматлар 2025'!$I:$I,"UzCard",'жами банкоматлар 2025'!$G:$G,"NCR 6622")</f>
        <v>0</v>
      </c>
      <c r="Q8" s="26">
        <f>COUNTIFS('жами банкоматлар 2025'!$D:$D,$C8,'жами банкоматлар 2025'!$I:$I,"UzCard",'жами банкоматлар 2025'!$G:$G,"NCR 6623")</f>
        <v>0</v>
      </c>
      <c r="R8" s="26">
        <f>COUNTIFS('жами банкоматлар 2025'!$D:$D,$C8,'жами банкоматлар 2025'!$I:$I,"UzCard",'жами банкоматлар 2025'!$G:$G,"NCR 6682")</f>
        <v>0</v>
      </c>
      <c r="S8" s="26">
        <f>COUNTIFS('жами банкоматлар 2025'!$D:$D,$C8,'жами банкоматлар 2025'!$I:$I,"UzCard",'жами банкоматлар 2025'!$G:$G,"CINEO C2070")</f>
        <v>0</v>
      </c>
      <c r="T8" s="26">
        <f>COUNTIFS('жами банкоматлар 2025'!$D:$D,$C8,'жами банкоматлар 2025'!$I:$I,"UzCard",'жами банкоматлар 2025'!$G:$G,"CINEO C4560")</f>
        <v>0</v>
      </c>
      <c r="U8" s="27">
        <f>+P8+Q8+R8+S8+T8</f>
        <v>0</v>
      </c>
      <c r="V8" s="46">
        <f t="shared" si="2"/>
        <v>0</v>
      </c>
      <c r="W8" s="47">
        <v>4</v>
      </c>
      <c r="X8" s="46">
        <v>326</v>
      </c>
      <c r="Y8" s="51">
        <v>567</v>
      </c>
      <c r="Z8" s="55">
        <v>1</v>
      </c>
      <c r="AA8" s="46">
        <v>1</v>
      </c>
      <c r="AB8" s="42"/>
      <c r="AC8" s="42"/>
      <c r="AD8" s="42"/>
      <c r="AE8" s="22"/>
    </row>
    <row r="9" spans="1:31" ht="15.75" x14ac:dyDescent="0.25">
      <c r="A9" s="15">
        <v>7</v>
      </c>
      <c r="B9" s="24" t="s">
        <v>38</v>
      </c>
      <c r="C9" s="17" t="e">
        <f>VLOOKUP(B9,'жами банкоматлар 2025'!C:D,2,0)</f>
        <v>#N/A</v>
      </c>
      <c r="D9" s="18" t="e">
        <f>VLOOKUP(B9,'жами банкоматлар 2025'!C:F,4,0)</f>
        <v>#N/A</v>
      </c>
      <c r="E9" s="25">
        <f>COUNTIFS('жами банкоматлар 2025'!$D:$D,$C9,'жами банкоматлар 2025'!$I:$I,"Humo",'жами банкоматлар 2025'!$G:$G,"CINEO C2040")</f>
        <v>0</v>
      </c>
      <c r="F9" s="26">
        <f>COUNTIFS('жами банкоматлар 2025'!$D:$D,$C9,'жами банкоматлар 2025'!$I:$I,"Humo",'жами банкоматлар 2025'!$G:$G,"CINEO C2070")</f>
        <v>0</v>
      </c>
      <c r="G9" s="26">
        <f>COUNTIFS('жами банкоматлар 2025'!$D:$D,$C9,'жами банкоматлар 2025'!$I:$I,"Humo",'жами банкоматлар 2025'!$G:$G,"NCR 6623")</f>
        <v>0</v>
      </c>
      <c r="H9" s="26">
        <f>COUNTIFS('жами банкоматлар 2025'!$D:$D,$C9,'жами банкоматлар 2025'!$I:$I,"Humo",'жами банкоматлар 2025'!$G:$G,"NCR 6682")</f>
        <v>0</v>
      </c>
      <c r="I9" s="58">
        <f>COUNTIFS('жами банкоматлар 2025'!$D:$D,$C9,'жами банкоматлар 2025'!$I:$I,"Humo",'жами банкоматлар 2025'!$G:$G,"GRG P5800")</f>
        <v>0</v>
      </c>
      <c r="J9" s="27">
        <f t="shared" si="3"/>
        <v>0</v>
      </c>
      <c r="K9" s="25">
        <f>COUNTIFS('жами банкоматлар 2025'!$D:$D,$C9,'жами банкоматлар 2025'!$I:$I,"Way4",'жами банкоматлар 2025'!$G:$G,"NCR 6623")</f>
        <v>0</v>
      </c>
      <c r="L9" s="25">
        <f>COUNTIFS('жами банкоматлар 2025'!$D:$D,$C9,'жами банкоматлар 2025'!$I:$I,"Way4",'жами банкоматлар 2025'!$G:$G,"NCR 6682")</f>
        <v>0</v>
      </c>
      <c r="M9" s="26">
        <f>COUNTIFS('жами банкоматлар 2025'!$D:$D,$C9,'жами банкоматлар 2025'!$I:$I,"Way4",'жами банкоматлар 2025'!$G:$G,"CINEO C2070")</f>
        <v>0</v>
      </c>
      <c r="N9" s="58">
        <f>COUNTIFS('жами банкоматлар 2025'!$D:$D,$C9,'жами банкоматлар 2025'!$I:$I,"Way4",'жами банкоматлар 2025'!$G:$G,"GRG P5800")</f>
        <v>0</v>
      </c>
      <c r="O9" s="27">
        <f t="shared" si="0"/>
        <v>0</v>
      </c>
      <c r="P9" s="25">
        <f>COUNTIFS('жами банкоматлар 2025'!$D:$D,$C9,'жами банкоматлар 2025'!$I:$I,"UzCard",'жами банкоматлар 2025'!$G:$G,"NCR 6622")</f>
        <v>0</v>
      </c>
      <c r="Q9" s="26">
        <f>COUNTIFS('жами банкоматлар 2025'!$D:$D,$C9,'жами банкоматлар 2025'!$I:$I,"UzCard",'жами банкоматлар 2025'!$G:$G,"NCR 6623")</f>
        <v>0</v>
      </c>
      <c r="R9" s="26">
        <f>COUNTIFS('жами банкоматлар 2025'!$D:$D,$C9,'жами банкоматлар 2025'!$I:$I,"UzCard",'жами банкоматлар 2025'!$G:$G,"NCR 6682")</f>
        <v>0</v>
      </c>
      <c r="S9" s="26">
        <f>COUNTIFS('жами банкоматлар 2025'!$D:$D,$C9,'жами банкоматлар 2025'!$I:$I,"UzCard",'жами банкоматлар 2025'!$G:$G,"CINEO C2070")</f>
        <v>0</v>
      </c>
      <c r="T9" s="26">
        <f>COUNTIFS('жами банкоматлар 2025'!$D:$D,$C9,'жами банкоматлар 2025'!$I:$I,"UzCard",'жами банкоматлар 2025'!$G:$G,"CINEO C4560")</f>
        <v>0</v>
      </c>
      <c r="U9" s="27">
        <f t="shared" si="1"/>
        <v>0</v>
      </c>
      <c r="V9" s="46">
        <f t="shared" si="2"/>
        <v>0</v>
      </c>
      <c r="W9" s="47">
        <v>4</v>
      </c>
      <c r="X9" s="46">
        <v>237</v>
      </c>
      <c r="Y9" s="51">
        <v>470</v>
      </c>
      <c r="Z9" s="55">
        <v>1</v>
      </c>
      <c r="AA9" s="46">
        <v>1</v>
      </c>
      <c r="AB9" s="42"/>
      <c r="AC9" s="42"/>
      <c r="AD9" s="42"/>
      <c r="AE9" s="22"/>
    </row>
    <row r="10" spans="1:31" ht="15.75" x14ac:dyDescent="0.25">
      <c r="A10" s="23">
        <v>8</v>
      </c>
      <c r="B10" s="24" t="s">
        <v>41</v>
      </c>
      <c r="C10" s="17" t="e">
        <f>VLOOKUP(B10,'жами банкоматлар 2025'!C:D,2,0)</f>
        <v>#N/A</v>
      </c>
      <c r="D10" s="18" t="e">
        <f>VLOOKUP(B10,'жами банкоматлар 2025'!C:F,4,0)</f>
        <v>#N/A</v>
      </c>
      <c r="E10" s="25">
        <f>COUNTIFS('жами банкоматлар 2025'!$D:$D,$C10,'жами банкоматлар 2025'!$I:$I,"Humo",'жами банкоматлар 2025'!$G:$G,"CINEO C2040")</f>
        <v>0</v>
      </c>
      <c r="F10" s="26">
        <f>COUNTIFS('жами банкоматлар 2025'!$D:$D,$C10,'жами банкоматлар 2025'!$I:$I,"Humo",'жами банкоматлар 2025'!$G:$G,"CINEO C2070")</f>
        <v>0</v>
      </c>
      <c r="G10" s="26">
        <f>COUNTIFS('жами банкоматлар 2025'!$D:$D,$C10,'жами банкоматлар 2025'!$I:$I,"Humo",'жами банкоматлар 2025'!$G:$G,"NCR 6623")</f>
        <v>0</v>
      </c>
      <c r="H10" s="26">
        <f>COUNTIFS('жами банкоматлар 2025'!$D:$D,$C10,'жами банкоматлар 2025'!$I:$I,"Humo",'жами банкоматлар 2025'!$G:$G,"NCR 6682")</f>
        <v>0</v>
      </c>
      <c r="I10" s="58">
        <f>COUNTIFS('жами банкоматлар 2025'!$D:$D,$C10,'жами банкоматлар 2025'!$I:$I,"Humo",'жами банкоматлар 2025'!$G:$G,"GRG P5800")</f>
        <v>0</v>
      </c>
      <c r="J10" s="27">
        <f t="shared" si="3"/>
        <v>0</v>
      </c>
      <c r="K10" s="25">
        <f>COUNTIFS('жами банкоматлар 2025'!$D:$D,$C10,'жами банкоматлар 2025'!$I:$I,"Way4",'жами банкоматлар 2025'!$G:$G,"NCR 6623")</f>
        <v>0</v>
      </c>
      <c r="L10" s="25">
        <f>COUNTIFS('жами банкоматлар 2025'!$D:$D,$C10,'жами банкоматлар 2025'!$I:$I,"Way4",'жами банкоматлар 2025'!$G:$G,"NCR 6682")</f>
        <v>0</v>
      </c>
      <c r="M10" s="26">
        <f>COUNTIFS('жами банкоматлар 2025'!$D:$D,$C10,'жами банкоматлар 2025'!$I:$I,"Way4",'жами банкоматлар 2025'!$G:$G,"CINEO C2070")</f>
        <v>0</v>
      </c>
      <c r="N10" s="58">
        <f>COUNTIFS('жами банкоматлар 2025'!$D:$D,$C10,'жами банкоматлар 2025'!$I:$I,"Way4",'жами банкоматлар 2025'!$G:$G,"GRG P5800")</f>
        <v>0</v>
      </c>
      <c r="O10" s="27">
        <f t="shared" si="0"/>
        <v>0</v>
      </c>
      <c r="P10" s="25">
        <f>COUNTIFS('жами банкоматлар 2025'!$D:$D,$C10,'жами банкоматлар 2025'!$I:$I,"UzCard",'жами банкоматлар 2025'!$G:$G,"NCR 6622")</f>
        <v>0</v>
      </c>
      <c r="Q10" s="26">
        <f>COUNTIFS('жами банкоматлар 2025'!$D:$D,$C10,'жами банкоматлар 2025'!$I:$I,"UzCard",'жами банкоматлар 2025'!$G:$G,"NCR 6623")</f>
        <v>0</v>
      </c>
      <c r="R10" s="26">
        <f>COUNTIFS('жами банкоматлар 2025'!$D:$D,$C10,'жами банкоматлар 2025'!$I:$I,"UzCard",'жами банкоматлар 2025'!$G:$G,"NCR 6682")</f>
        <v>0</v>
      </c>
      <c r="S10" s="26">
        <f>COUNTIFS('жами банкоматлар 2025'!$D:$D,$C10,'жами банкоматлар 2025'!$I:$I,"UzCard",'жами банкоматлар 2025'!$G:$G,"CINEO C2070")</f>
        <v>0</v>
      </c>
      <c r="T10" s="26">
        <f>COUNTIFS('жами банкоматлар 2025'!$D:$D,$C10,'жами банкоматлар 2025'!$I:$I,"UzCard",'жами банкоматлар 2025'!$G:$G,"CINEO C4560")</f>
        <v>0</v>
      </c>
      <c r="U10" s="27">
        <f t="shared" si="1"/>
        <v>0</v>
      </c>
      <c r="V10" s="46">
        <f t="shared" si="2"/>
        <v>0</v>
      </c>
      <c r="W10" s="47">
        <v>3</v>
      </c>
      <c r="X10" s="46">
        <v>394</v>
      </c>
      <c r="Y10" s="51">
        <v>386</v>
      </c>
      <c r="Z10" s="55">
        <v>1</v>
      </c>
      <c r="AA10" s="46">
        <v>1</v>
      </c>
      <c r="AB10" s="42"/>
      <c r="AC10" s="42"/>
      <c r="AD10" s="42"/>
      <c r="AE10" s="22"/>
    </row>
    <row r="11" spans="1:31" ht="15.75" x14ac:dyDescent="0.25">
      <c r="A11" s="23">
        <v>9</v>
      </c>
      <c r="B11" s="24" t="s">
        <v>43</v>
      </c>
      <c r="C11" s="17" t="s">
        <v>1708</v>
      </c>
      <c r="D11" s="18" t="s">
        <v>1735</v>
      </c>
      <c r="E11" s="25">
        <f>COUNTIFS('жами банкоматлар 2025'!$D:$D,$C11,'жами банкоматлар 2025'!$I:$I,"Humo",'жами банкоматлар 2025'!$G:$G,"CINEO C2040")</f>
        <v>0</v>
      </c>
      <c r="F11" s="26">
        <f>COUNTIFS('жами банкоматлар 2025'!$D:$D,$C11,'жами банкоматлар 2025'!$I:$I,"Humo",'жами банкоматлар 2025'!$G:$G,"CINEO C2070")</f>
        <v>0</v>
      </c>
      <c r="G11" s="26">
        <f>COUNTIFS('жами банкоматлар 2025'!$D:$D,$C11,'жами банкоматлар 2025'!$I:$I,"Humo",'жами банкоматлар 2025'!$G:$G,"NCR 6623")</f>
        <v>0</v>
      </c>
      <c r="H11" s="26">
        <f>COUNTIFS('жами банкоматлар 2025'!$D:$D,$C11,'жами банкоматлар 2025'!$I:$I,"Humo",'жами банкоматлар 2025'!$G:$G,"NCR 6682")</f>
        <v>0</v>
      </c>
      <c r="I11" s="58">
        <f>COUNTIFS('жами банкоматлар 2025'!$D:$D,$C11,'жами банкоматлар 2025'!$I:$I,"Humo",'жами банкоматлар 2025'!$G:$G,"GRG P5800")</f>
        <v>0</v>
      </c>
      <c r="J11" s="27">
        <f t="shared" si="3"/>
        <v>0</v>
      </c>
      <c r="K11" s="25">
        <f>COUNTIFS('жами банкоматлар 2025'!$D:$D,$C11,'жами банкоматлар 2025'!$I:$I,"Way4",'жами банкоматлар 2025'!$G:$G,"NCR 6623")</f>
        <v>0</v>
      </c>
      <c r="L11" s="25">
        <f>COUNTIFS('жами банкоматлар 2025'!$D:$D,$C11,'жами банкоматлар 2025'!$I:$I,"Way4",'жами банкоматлар 2025'!$G:$G,"NCR 6682")</f>
        <v>0</v>
      </c>
      <c r="M11" s="26">
        <f>COUNTIFS('жами банкоматлар 2025'!$D:$D,$C11,'жами банкоматлар 2025'!$I:$I,"Way4",'жами банкоматлар 2025'!$G:$G,"CINEO C2070")</f>
        <v>0</v>
      </c>
      <c r="N11" s="58">
        <f>COUNTIFS('жами банкоматлар 2025'!$D:$D,$C11,'жами банкоматлар 2025'!$I:$I,"Way4",'жами банкоматлар 2025'!$G:$G,"GRG P5800")</f>
        <v>0</v>
      </c>
      <c r="O11" s="27">
        <f t="shared" si="0"/>
        <v>0</v>
      </c>
      <c r="P11" s="25">
        <f>COUNTIFS('жами банкоматлар 2025'!$D:$D,$C11,'жами банкоматлар 2025'!$I:$I,"UzCard",'жами банкоматлар 2025'!$G:$G,"NCR 6622")</f>
        <v>0</v>
      </c>
      <c r="Q11" s="26">
        <f>COUNTIFS('жами банкоматлар 2025'!$D:$D,$C11,'жами банкоматлар 2025'!$I:$I,"UzCard",'жами банкоматлар 2025'!$G:$G,"NCR 6623")</f>
        <v>0</v>
      </c>
      <c r="R11" s="26">
        <f>COUNTIFS('жами банкоматлар 2025'!$D:$D,$C11,'жами банкоматлар 2025'!$I:$I,"UzCard",'жами банкоматлар 2025'!$G:$G,"NCR 6682")</f>
        <v>0</v>
      </c>
      <c r="S11" s="26">
        <f>COUNTIFS('жами банкоматлар 2025'!$D:$D,$C11,'жами банкоматлар 2025'!$I:$I,"UzCard",'жами банкоматлар 2025'!$G:$G,"CINEO C2070")</f>
        <v>0</v>
      </c>
      <c r="T11" s="26">
        <f>COUNTIFS('жами банкоматлар 2025'!$D:$D,$C11,'жами банкоматлар 2025'!$I:$I,"UzCard",'жами банкоматлар 2025'!$G:$G,"CINEO C4560")</f>
        <v>0</v>
      </c>
      <c r="U11" s="27">
        <f t="shared" si="1"/>
        <v>0</v>
      </c>
      <c r="V11" s="46">
        <f t="shared" si="2"/>
        <v>0</v>
      </c>
      <c r="W11" s="47">
        <v>7</v>
      </c>
      <c r="X11" s="46">
        <v>220</v>
      </c>
      <c r="Y11" s="51">
        <v>330</v>
      </c>
      <c r="Z11" s="55">
        <v>1</v>
      </c>
      <c r="AA11" s="46">
        <v>1</v>
      </c>
      <c r="AB11" s="42"/>
      <c r="AC11" s="42"/>
      <c r="AD11" s="42"/>
      <c r="AE11" s="22"/>
    </row>
    <row r="12" spans="1:31" ht="15.75" x14ac:dyDescent="0.25">
      <c r="A12" s="15">
        <v>10</v>
      </c>
      <c r="B12" s="24" t="s">
        <v>44</v>
      </c>
      <c r="C12" s="17" t="e">
        <f>VLOOKUP(B12,'жами банкоматлар 2025'!C:D,2,0)</f>
        <v>#N/A</v>
      </c>
      <c r="D12" s="18" t="e">
        <f>VLOOKUP(B12,'жами банкоматлар 2025'!C:F,4,0)</f>
        <v>#N/A</v>
      </c>
      <c r="E12" s="25">
        <f>COUNTIFS('жами банкоматлар 2025'!$D:$D,$C12,'жами банкоматлар 2025'!$I:$I,"Humo",'жами банкоматлар 2025'!$G:$G,"CINEO C2040")</f>
        <v>0</v>
      </c>
      <c r="F12" s="26">
        <f>COUNTIFS('жами банкоматлар 2025'!$D:$D,$C12,'жами банкоматлар 2025'!$I:$I,"Humo",'жами банкоматлар 2025'!$G:$G,"CINEO C2070")</f>
        <v>0</v>
      </c>
      <c r="G12" s="26">
        <f>COUNTIFS('жами банкоматлар 2025'!$D:$D,$C12,'жами банкоматлар 2025'!$I:$I,"Humo",'жами банкоматлар 2025'!$G:$G,"NCR 6623")</f>
        <v>0</v>
      </c>
      <c r="H12" s="26">
        <f>COUNTIFS('жами банкоматлар 2025'!$D:$D,$C12,'жами банкоматлар 2025'!$I:$I,"Humo",'жами банкоматлар 2025'!$G:$G,"NCR 6682")</f>
        <v>0</v>
      </c>
      <c r="I12" s="58">
        <f>COUNTIFS('жами банкоматлар 2025'!$D:$D,$C12,'жами банкоматлар 2025'!$I:$I,"Humo",'жами банкоматлар 2025'!$G:$G,"GRG P5800")</f>
        <v>0</v>
      </c>
      <c r="J12" s="27">
        <f t="shared" si="3"/>
        <v>0</v>
      </c>
      <c r="K12" s="25">
        <f>COUNTIFS('жами банкоматлар 2025'!$D:$D,$C12,'жами банкоматлар 2025'!$I:$I,"Way4",'жами банкоматлар 2025'!$G:$G,"NCR 6623")</f>
        <v>0</v>
      </c>
      <c r="L12" s="25">
        <f>COUNTIFS('жами банкоматлар 2025'!$D:$D,$C12,'жами банкоматлар 2025'!$I:$I,"Way4",'жами банкоматлар 2025'!$G:$G,"NCR 6682")</f>
        <v>0</v>
      </c>
      <c r="M12" s="26">
        <f>COUNTIFS('жами банкоматлар 2025'!$D:$D,$C12,'жами банкоматлар 2025'!$I:$I,"Way4",'жами банкоматлар 2025'!$G:$G,"CINEO C2070")</f>
        <v>0</v>
      </c>
      <c r="N12" s="58">
        <f>COUNTIFS('жами банкоматлар 2025'!$D:$D,$C12,'жами банкоматлар 2025'!$I:$I,"Way4",'жами банкоматлар 2025'!$G:$G,"GRG P5800")</f>
        <v>0</v>
      </c>
      <c r="O12" s="27">
        <f t="shared" si="0"/>
        <v>0</v>
      </c>
      <c r="P12" s="25">
        <f>COUNTIFS('жами банкоматлар 2025'!$D:$D,$C12,'жами банкоматлар 2025'!$I:$I,"UzCard",'жами банкоматлар 2025'!$G:$G,"NCR 6622")</f>
        <v>0</v>
      </c>
      <c r="Q12" s="26">
        <f>COUNTIFS('жами банкоматлар 2025'!$D:$D,$C12,'жами банкоматлар 2025'!$I:$I,"UzCard",'жами банкоматлар 2025'!$G:$G,"NCR 6623")</f>
        <v>0</v>
      </c>
      <c r="R12" s="26">
        <f>COUNTIFS('жами банкоматлар 2025'!$D:$D,$C12,'жами банкоматлар 2025'!$I:$I,"UzCard",'жами банкоматлар 2025'!$G:$G,"NCR 6682")</f>
        <v>0</v>
      </c>
      <c r="S12" s="26">
        <f>COUNTIFS('жами банкоматлар 2025'!$D:$D,$C12,'жами банкоматлар 2025'!$I:$I,"UzCard",'жами банкоматлар 2025'!$G:$G,"CINEO C2070")</f>
        <v>0</v>
      </c>
      <c r="T12" s="26">
        <f>COUNTIFS('жами банкоматлар 2025'!$D:$D,$C12,'жами банкоматлар 2025'!$I:$I,"UzCard",'жами банкоматлар 2025'!$G:$G,"CINEO C4560")</f>
        <v>0</v>
      </c>
      <c r="U12" s="27">
        <f t="shared" si="1"/>
        <v>0</v>
      </c>
      <c r="V12" s="46">
        <f t="shared" si="2"/>
        <v>0</v>
      </c>
      <c r="W12" s="47">
        <v>2</v>
      </c>
      <c r="X12" s="46">
        <v>156</v>
      </c>
      <c r="Y12" s="51">
        <v>268</v>
      </c>
      <c r="Z12" s="55">
        <v>0</v>
      </c>
      <c r="AA12" s="46">
        <v>1</v>
      </c>
      <c r="AB12" s="42"/>
      <c r="AC12" s="42"/>
      <c r="AD12" s="42"/>
      <c r="AE12" s="22"/>
    </row>
    <row r="13" spans="1:31" ht="15.75" x14ac:dyDescent="0.25">
      <c r="A13" s="23">
        <v>11</v>
      </c>
      <c r="B13" s="24" t="s">
        <v>46</v>
      </c>
      <c r="C13" s="17" t="e">
        <f>VLOOKUP(B13,'жами банкоматлар 2025'!C:D,2,0)</f>
        <v>#N/A</v>
      </c>
      <c r="D13" s="18" t="e">
        <f>VLOOKUP(B13,'жами банкоматлар 2025'!C:F,4,0)</f>
        <v>#N/A</v>
      </c>
      <c r="E13" s="25">
        <f>COUNTIFS('жами банкоматлар 2025'!$D:$D,$C13,'жами банкоматлар 2025'!$I:$I,"Humo",'жами банкоматлар 2025'!$G:$G,"CINEO C2040")</f>
        <v>0</v>
      </c>
      <c r="F13" s="26">
        <f>COUNTIFS('жами банкоматлар 2025'!$D:$D,$C13,'жами банкоматлар 2025'!$I:$I,"Humo",'жами банкоматлар 2025'!$G:$G,"CINEO C2070")</f>
        <v>0</v>
      </c>
      <c r="G13" s="26">
        <f>COUNTIFS('жами банкоматлар 2025'!$D:$D,$C13,'жами банкоматлар 2025'!$I:$I,"Humo",'жами банкоматлар 2025'!$G:$G,"NCR 6623")</f>
        <v>0</v>
      </c>
      <c r="H13" s="26">
        <f>COUNTIFS('жами банкоматлар 2025'!$D:$D,$C13,'жами банкоматлар 2025'!$I:$I,"Humo",'жами банкоматлар 2025'!$G:$G,"NCR 6682")</f>
        <v>0</v>
      </c>
      <c r="I13" s="58">
        <f>COUNTIFS('жами банкоматлар 2025'!$D:$D,$C13,'жами банкоматлар 2025'!$I:$I,"Humo",'жами банкоматлар 2025'!$G:$G,"GRG P5800")</f>
        <v>0</v>
      </c>
      <c r="J13" s="27">
        <f t="shared" si="3"/>
        <v>0</v>
      </c>
      <c r="K13" s="25">
        <f>COUNTIFS('жами банкоматлар 2025'!$D:$D,$C13,'жами банкоматлар 2025'!$I:$I,"Way4",'жами банкоматлар 2025'!$G:$G,"NCR 6623")</f>
        <v>0</v>
      </c>
      <c r="L13" s="25">
        <f>COUNTIFS('жами банкоматлар 2025'!$D:$D,$C13,'жами банкоматлар 2025'!$I:$I,"Way4",'жами банкоматлар 2025'!$G:$G,"NCR 6682")</f>
        <v>0</v>
      </c>
      <c r="M13" s="26">
        <f>COUNTIFS('жами банкоматлар 2025'!$D:$D,$C13,'жами банкоматлар 2025'!$I:$I,"Way4",'жами банкоматлар 2025'!$G:$G,"CINEO C2070")</f>
        <v>0</v>
      </c>
      <c r="N13" s="58">
        <f>COUNTIFS('жами банкоматлар 2025'!$D:$D,$C13,'жами банкоматлар 2025'!$I:$I,"Way4",'жами банкоматлар 2025'!$G:$G,"GRG P5800")</f>
        <v>0</v>
      </c>
      <c r="O13" s="27">
        <f t="shared" si="0"/>
        <v>0</v>
      </c>
      <c r="P13" s="25">
        <f>COUNTIFS('жами банкоматлар 2025'!$D:$D,$C13,'жами банкоматлар 2025'!$I:$I,"UzCard",'жами банкоматлар 2025'!$G:$G,"NCR 6622")</f>
        <v>0</v>
      </c>
      <c r="Q13" s="26">
        <f>COUNTIFS('жами банкоматлар 2025'!$D:$D,$C13,'жами банкоматлар 2025'!$I:$I,"UzCard",'жами банкоматлар 2025'!$G:$G,"NCR 6623")</f>
        <v>0</v>
      </c>
      <c r="R13" s="26">
        <f>COUNTIFS('жами банкоматлар 2025'!$D:$D,$C13,'жами банкоматлар 2025'!$I:$I,"UzCard",'жами банкоматлар 2025'!$G:$G,"NCR 6682")</f>
        <v>0</v>
      </c>
      <c r="S13" s="26">
        <f>COUNTIFS('жами банкоматлар 2025'!$D:$D,$C13,'жами банкоматлар 2025'!$I:$I,"UzCard",'жами банкоматлар 2025'!$G:$G,"CINEO C2070")</f>
        <v>0</v>
      </c>
      <c r="T13" s="26">
        <f>COUNTIFS('жами банкоматлар 2025'!$D:$D,$C13,'жами банкоматлар 2025'!$I:$I,"UzCard",'жами банкоматлар 2025'!$G:$G,"CINEO C4560")</f>
        <v>0</v>
      </c>
      <c r="U13" s="27">
        <f t="shared" si="1"/>
        <v>0</v>
      </c>
      <c r="V13" s="46">
        <f t="shared" si="2"/>
        <v>0</v>
      </c>
      <c r="W13" s="47">
        <v>6</v>
      </c>
      <c r="X13" s="46">
        <v>176</v>
      </c>
      <c r="Y13" s="51">
        <v>328</v>
      </c>
      <c r="Z13" s="55">
        <v>1</v>
      </c>
      <c r="AA13" s="46">
        <v>1</v>
      </c>
      <c r="AB13" s="42"/>
      <c r="AC13" s="42"/>
      <c r="AD13" s="42"/>
      <c r="AE13" s="22"/>
    </row>
    <row r="14" spans="1:31" ht="15.75" x14ac:dyDescent="0.25">
      <c r="A14" s="23">
        <v>12</v>
      </c>
      <c r="B14" s="24" t="s">
        <v>53</v>
      </c>
      <c r="C14" s="17" t="e">
        <f>VLOOKUP(B14,'жами банкоматлар 2025'!C:D,2,0)</f>
        <v>#N/A</v>
      </c>
      <c r="D14" s="18" t="e">
        <f>VLOOKUP(B14,'жами банкоматлар 2025'!C:F,4,0)</f>
        <v>#N/A</v>
      </c>
      <c r="E14" s="25">
        <f>COUNTIFS('жами банкоматлар 2025'!$D:$D,$C14,'жами банкоматлар 2025'!$I:$I,"Humo",'жами банкоматлар 2025'!$G:$G,"CINEO C2040")</f>
        <v>0</v>
      </c>
      <c r="F14" s="26">
        <f>COUNTIFS('жами банкоматлар 2025'!$D:$D,$C14,'жами банкоматлар 2025'!$I:$I,"Humo",'жами банкоматлар 2025'!$G:$G,"CINEO C2070")</f>
        <v>0</v>
      </c>
      <c r="G14" s="26">
        <f>COUNTIFS('жами банкоматлар 2025'!$D:$D,$C14,'жами банкоматлар 2025'!$I:$I,"Humo",'жами банкоматлар 2025'!$G:$G,"NCR 6623")</f>
        <v>0</v>
      </c>
      <c r="H14" s="26">
        <f>COUNTIFS('жами банкоматлар 2025'!$D:$D,$C14,'жами банкоматлар 2025'!$I:$I,"Humo",'жами банкоматлар 2025'!$G:$G,"NCR 6682")</f>
        <v>0</v>
      </c>
      <c r="I14" s="58">
        <f>COUNTIFS('жами банкоматлар 2025'!$D:$D,$C14,'жами банкоматлар 2025'!$I:$I,"Humo",'жами банкоматлар 2025'!$G:$G,"GRG P5800")</f>
        <v>0</v>
      </c>
      <c r="J14" s="27">
        <f t="shared" si="3"/>
        <v>0</v>
      </c>
      <c r="K14" s="25">
        <f>COUNTIFS('жами банкоматлар 2025'!$D:$D,$C14,'жами банкоматлар 2025'!$I:$I,"Way4",'жами банкоматлар 2025'!$G:$G,"NCR 6623")</f>
        <v>0</v>
      </c>
      <c r="L14" s="25">
        <f>COUNTIFS('жами банкоматлар 2025'!$D:$D,$C14,'жами банкоматлар 2025'!$I:$I,"Way4",'жами банкоматлар 2025'!$G:$G,"NCR 6682")</f>
        <v>0</v>
      </c>
      <c r="M14" s="26">
        <f>COUNTIFS('жами банкоматлар 2025'!$D:$D,$C14,'жами банкоматлар 2025'!$I:$I,"Way4",'жами банкоматлар 2025'!$G:$G,"CINEO C2070")</f>
        <v>0</v>
      </c>
      <c r="N14" s="58">
        <f>COUNTIFS('жами банкоматлар 2025'!$D:$D,$C14,'жами банкоматлар 2025'!$I:$I,"Way4",'жами банкоматлар 2025'!$G:$G,"GRG P5800")</f>
        <v>0</v>
      </c>
      <c r="O14" s="27">
        <f t="shared" si="0"/>
        <v>0</v>
      </c>
      <c r="P14" s="25">
        <f>COUNTIFS('жами банкоматлар 2025'!$D:$D,$C14,'жами банкоматлар 2025'!$I:$I,"UzCard",'жами банкоматлар 2025'!$G:$G,"NCR 6622")</f>
        <v>0</v>
      </c>
      <c r="Q14" s="26">
        <f>COUNTIFS('жами банкоматлар 2025'!$D:$D,$C14,'жами банкоматлар 2025'!$I:$I,"UzCard",'жами банкоматлар 2025'!$G:$G,"NCR 6623")</f>
        <v>0</v>
      </c>
      <c r="R14" s="26">
        <f>COUNTIFS('жами банкоматлар 2025'!$D:$D,$C14,'жами банкоматлар 2025'!$I:$I,"UzCard",'жами банкоматлар 2025'!$G:$G,"NCR 6682")</f>
        <v>0</v>
      </c>
      <c r="S14" s="26">
        <f>COUNTIFS('жами банкоматлар 2025'!$D:$D,$C14,'жами банкоматлар 2025'!$I:$I,"UzCard",'жами банкоматлар 2025'!$G:$G,"CINEO C2070")</f>
        <v>0</v>
      </c>
      <c r="T14" s="26">
        <f>COUNTIFS('жами банкоматлар 2025'!$D:$D,$C14,'жами банкоматлар 2025'!$I:$I,"UzCard",'жами банкоматлар 2025'!$G:$G,"CINEO C4560")</f>
        <v>0</v>
      </c>
      <c r="U14" s="27">
        <f t="shared" si="1"/>
        <v>0</v>
      </c>
      <c r="V14" s="46">
        <f t="shared" si="2"/>
        <v>0</v>
      </c>
      <c r="W14" s="47">
        <v>3</v>
      </c>
      <c r="X14" s="46">
        <v>345</v>
      </c>
      <c r="Y14" s="51">
        <v>335</v>
      </c>
      <c r="Z14" s="55">
        <v>1</v>
      </c>
      <c r="AA14" s="46">
        <v>1</v>
      </c>
      <c r="AB14" s="42"/>
      <c r="AC14" s="42"/>
      <c r="AD14" s="42"/>
      <c r="AE14" s="22"/>
    </row>
    <row r="15" spans="1:31" ht="15.75" x14ac:dyDescent="0.25">
      <c r="A15" s="15">
        <v>13</v>
      </c>
      <c r="B15" s="24" t="s">
        <v>57</v>
      </c>
      <c r="C15" s="17" t="s">
        <v>228</v>
      </c>
      <c r="D15" s="18" t="s">
        <v>422</v>
      </c>
      <c r="E15" s="25">
        <f>COUNTIFS('жами банкоматлар 2025'!$D:$D,$C15,'жами банкоматлар 2025'!$I:$I,"Humo",'жами банкоматлар 2025'!$G:$G,"CINEO C2040")</f>
        <v>0</v>
      </c>
      <c r="F15" s="26">
        <f>COUNTIFS('жами банкоматлар 2025'!$D:$D,$C15,'жами банкоматлар 2025'!$I:$I,"Humo",'жами банкоматлар 2025'!$G:$G,"CINEO C2070")</f>
        <v>0</v>
      </c>
      <c r="G15" s="26">
        <f>COUNTIFS('жами банкоматлар 2025'!$D:$D,$C15,'жами банкоматлар 2025'!$I:$I,"Humo",'жами банкоматлар 2025'!$G:$G,"NCR 6623")</f>
        <v>0</v>
      </c>
      <c r="H15" s="26">
        <f>COUNTIFS('жами банкоматлар 2025'!$D:$D,$C15,'жами банкоматлар 2025'!$I:$I,"Humo",'жами банкоматлар 2025'!$G:$G,"NCR 6682")</f>
        <v>0</v>
      </c>
      <c r="I15" s="58">
        <f>COUNTIFS('жами банкоматлар 2025'!$D:$D,$C15,'жами банкоматлар 2025'!$I:$I,"Humo",'жами банкоматлар 2025'!$G:$G,"GRG P5800")</f>
        <v>0</v>
      </c>
      <c r="J15" s="27">
        <f t="shared" si="3"/>
        <v>0</v>
      </c>
      <c r="K15" s="25">
        <f>COUNTIFS('жами банкоматлар 2025'!$D:$D,$C15,'жами банкоматлар 2025'!$I:$I,"Way4",'жами банкоматлар 2025'!$G:$G,"NCR 6623")</f>
        <v>0</v>
      </c>
      <c r="L15" s="25">
        <f>COUNTIFS('жами банкоматлар 2025'!$D:$D,$C15,'жами банкоматлар 2025'!$I:$I,"Way4",'жами банкоматлар 2025'!$G:$G,"NCR 6682")</f>
        <v>0</v>
      </c>
      <c r="M15" s="26">
        <f>COUNTIFS('жами банкоматлар 2025'!$D:$D,$C15,'жами банкоматлар 2025'!$I:$I,"Way4",'жами банкоматлар 2025'!$G:$G,"CINEO C2070")</f>
        <v>0</v>
      </c>
      <c r="N15" s="58">
        <f>COUNTIFS('жами банкоматлар 2025'!$D:$D,$C15,'жами банкоматлар 2025'!$I:$I,"Way4",'жами банкоматлар 2025'!$G:$G,"GRG P5800")</f>
        <v>0</v>
      </c>
      <c r="O15" s="27">
        <f t="shared" si="0"/>
        <v>0</v>
      </c>
      <c r="P15" s="25">
        <f>COUNTIFS('жами банкоматлар 2025'!$D:$D,$C15,'жами банкоматлар 2025'!$I:$I,"UzCard",'жами банкоматлар 2025'!$G:$G,"NCR 6622")</f>
        <v>0</v>
      </c>
      <c r="Q15" s="26">
        <f>COUNTIFS('жами банкоматлар 2025'!$D:$D,$C15,'жами банкоматлар 2025'!$I:$I,"UzCard",'жами банкоматлар 2025'!$G:$G,"NCR 6623")</f>
        <v>0</v>
      </c>
      <c r="R15" s="26">
        <f>COUNTIFS('жами банкоматлар 2025'!$D:$D,$C15,'жами банкоматлар 2025'!$I:$I,"UzCard",'жами банкоматлар 2025'!$G:$G,"NCR 6682")</f>
        <v>0</v>
      </c>
      <c r="S15" s="26">
        <f>COUNTIFS('жами банкоматлар 2025'!$D:$D,$C15,'жами банкоматлар 2025'!$I:$I,"UzCard",'жами банкоматлар 2025'!$G:$G,"CINEO C2070")</f>
        <v>0</v>
      </c>
      <c r="T15" s="26">
        <f>COUNTIFS('жами банкоматлар 2025'!$D:$D,$C15,'жами банкоматлар 2025'!$I:$I,"UzCard",'жами банкоматлар 2025'!$G:$G,"CINEO C4560")</f>
        <v>0</v>
      </c>
      <c r="U15" s="27">
        <f t="shared" si="1"/>
        <v>0</v>
      </c>
      <c r="V15" s="46">
        <f t="shared" si="2"/>
        <v>0</v>
      </c>
      <c r="W15" s="47">
        <v>4</v>
      </c>
      <c r="X15" s="46">
        <v>351</v>
      </c>
      <c r="Y15" s="51">
        <v>319</v>
      </c>
      <c r="Z15" s="55">
        <v>1</v>
      </c>
      <c r="AA15" s="46">
        <v>1</v>
      </c>
      <c r="AB15" s="42"/>
      <c r="AC15" s="42"/>
      <c r="AD15" s="42"/>
      <c r="AE15" s="22"/>
    </row>
    <row r="16" spans="1:31" ht="15.75" x14ac:dyDescent="0.25">
      <c r="A16" s="23">
        <v>14</v>
      </c>
      <c r="B16" s="24" t="s">
        <v>60</v>
      </c>
      <c r="C16" s="17" t="e">
        <f>VLOOKUP(B16,'жами банкоматлар 2025'!C:D,2,0)</f>
        <v>#N/A</v>
      </c>
      <c r="D16" s="18" t="e">
        <f>VLOOKUP(B16,'жами банкоматлар 2025'!C:F,4,0)</f>
        <v>#N/A</v>
      </c>
      <c r="E16" s="25">
        <f>COUNTIFS('жами банкоматлар 2025'!$D:$D,$C16,'жами банкоматлар 2025'!$I:$I,"Humo",'жами банкоматлар 2025'!$G:$G,"CINEO C2040")</f>
        <v>0</v>
      </c>
      <c r="F16" s="26">
        <f>COUNTIFS('жами банкоматлар 2025'!$D:$D,$C16,'жами банкоматлар 2025'!$I:$I,"Humo",'жами банкоматлар 2025'!$G:$G,"CINEO C2070")</f>
        <v>0</v>
      </c>
      <c r="G16" s="26">
        <f>COUNTIFS('жами банкоматлар 2025'!$D:$D,$C16,'жами банкоматлар 2025'!$I:$I,"Humo",'жами банкоматлар 2025'!$G:$G,"NCR 6623")</f>
        <v>0</v>
      </c>
      <c r="H16" s="26">
        <f>COUNTIFS('жами банкоматлар 2025'!$D:$D,$C16,'жами банкоматлар 2025'!$I:$I,"Humo",'жами банкоматлар 2025'!$G:$G,"NCR 6682")</f>
        <v>0</v>
      </c>
      <c r="I16" s="58">
        <f>COUNTIFS('жами банкоматлар 2025'!$D:$D,$C16,'жами банкоматлар 2025'!$I:$I,"Humo",'жами банкоматлар 2025'!$G:$G,"GRG P5800")</f>
        <v>0</v>
      </c>
      <c r="J16" s="27">
        <f t="shared" si="3"/>
        <v>0</v>
      </c>
      <c r="K16" s="25">
        <f>COUNTIFS('жами банкоматлар 2025'!$D:$D,$C16,'жами банкоматлар 2025'!$I:$I,"Way4",'жами банкоматлар 2025'!$G:$G,"NCR 6623")</f>
        <v>0</v>
      </c>
      <c r="L16" s="25">
        <f>COUNTIFS('жами банкоматлар 2025'!$D:$D,$C16,'жами банкоматлар 2025'!$I:$I,"Way4",'жами банкоматлар 2025'!$G:$G,"NCR 6682")</f>
        <v>0</v>
      </c>
      <c r="M16" s="26">
        <f>COUNTIFS('жами банкоматлар 2025'!$D:$D,$C16,'жами банкоматлар 2025'!$I:$I,"Way4",'жами банкоматлар 2025'!$G:$G,"CINEO C2070")</f>
        <v>0</v>
      </c>
      <c r="N16" s="58">
        <f>COUNTIFS('жами банкоматлар 2025'!$D:$D,$C16,'жами банкоматлар 2025'!$I:$I,"Way4",'жами банкоматлар 2025'!$G:$G,"GRG P5800")</f>
        <v>0</v>
      </c>
      <c r="O16" s="27">
        <f t="shared" si="0"/>
        <v>0</v>
      </c>
      <c r="P16" s="25">
        <f>COUNTIFS('жами банкоматлар 2025'!$D:$D,$C16,'жами банкоматлар 2025'!$I:$I,"UzCard",'жами банкоматлар 2025'!$G:$G,"NCR 6622")</f>
        <v>0</v>
      </c>
      <c r="Q16" s="26">
        <f>COUNTIFS('жами банкоматлар 2025'!$D:$D,$C16,'жами банкоматлар 2025'!$I:$I,"UzCard",'жами банкоматлар 2025'!$G:$G,"NCR 6623")</f>
        <v>0</v>
      </c>
      <c r="R16" s="26">
        <f>COUNTIFS('жами банкоматлар 2025'!$D:$D,$C16,'жами банкоматлар 2025'!$I:$I,"UzCard",'жами банкоматлар 2025'!$G:$G,"NCR 6682")</f>
        <v>0</v>
      </c>
      <c r="S16" s="26">
        <f>COUNTIFS('жами банкоматлар 2025'!$D:$D,$C16,'жами банкоматлар 2025'!$I:$I,"UzCard",'жами банкоматлар 2025'!$G:$G,"CINEO C2070")</f>
        <v>0</v>
      </c>
      <c r="T16" s="26">
        <f>COUNTIFS('жами банкоматлар 2025'!$D:$D,$C16,'жами банкоматлар 2025'!$I:$I,"UzCard",'жами банкоматлар 2025'!$G:$G,"CINEO C4560")</f>
        <v>0</v>
      </c>
      <c r="U16" s="27">
        <f t="shared" si="1"/>
        <v>0</v>
      </c>
      <c r="V16" s="46">
        <f t="shared" si="2"/>
        <v>0</v>
      </c>
      <c r="W16" s="47">
        <v>1</v>
      </c>
      <c r="X16" s="46">
        <v>498</v>
      </c>
      <c r="Y16" s="51">
        <v>619</v>
      </c>
      <c r="Z16" s="55">
        <v>1</v>
      </c>
      <c r="AA16" s="46">
        <v>1</v>
      </c>
      <c r="AB16" s="42"/>
      <c r="AC16" s="42"/>
      <c r="AD16" s="42"/>
      <c r="AE16" s="22"/>
    </row>
    <row r="17" spans="1:31" ht="15.75" x14ac:dyDescent="0.25">
      <c r="A17" s="23">
        <v>15</v>
      </c>
      <c r="B17" s="24" t="s">
        <v>64</v>
      </c>
      <c r="C17" s="17" t="e">
        <f>VLOOKUP(B17,'жами банкоматлар 2025'!C:D,2,0)</f>
        <v>#N/A</v>
      </c>
      <c r="D17" s="18" t="e">
        <f>VLOOKUP(B17,'жами банкоматлар 2025'!C:F,4,0)</f>
        <v>#N/A</v>
      </c>
      <c r="E17" s="25">
        <f>COUNTIFS('жами банкоматлар 2025'!$D:$D,$C17,'жами банкоматлар 2025'!$I:$I,"Humo",'жами банкоматлар 2025'!$G:$G,"CINEO C2040")</f>
        <v>0</v>
      </c>
      <c r="F17" s="26">
        <f>COUNTIFS('жами банкоматлар 2025'!$D:$D,$C17,'жами банкоматлар 2025'!$I:$I,"Humo",'жами банкоматлар 2025'!$G:$G,"CINEO C2070")</f>
        <v>0</v>
      </c>
      <c r="G17" s="26">
        <f>COUNTIFS('жами банкоматлар 2025'!$D:$D,$C17,'жами банкоматлар 2025'!$I:$I,"Humo",'жами банкоматлар 2025'!$G:$G,"NCR 6623")</f>
        <v>0</v>
      </c>
      <c r="H17" s="26">
        <f>COUNTIFS('жами банкоматлар 2025'!$D:$D,$C17,'жами банкоматлар 2025'!$I:$I,"Humo",'жами банкоматлар 2025'!$G:$G,"NCR 6682")</f>
        <v>0</v>
      </c>
      <c r="I17" s="58">
        <f>COUNTIFS('жами банкоматлар 2025'!$D:$D,$C17,'жами банкоматлар 2025'!$I:$I,"Humo",'жами банкоматлар 2025'!$G:$G,"GRG P5800")</f>
        <v>0</v>
      </c>
      <c r="J17" s="27">
        <f t="shared" si="3"/>
        <v>0</v>
      </c>
      <c r="K17" s="25">
        <f>COUNTIFS('жами банкоматлар 2025'!$D:$D,$C17,'жами банкоматлар 2025'!$I:$I,"Way4",'жами банкоматлар 2025'!$G:$G,"NCR 6623")</f>
        <v>0</v>
      </c>
      <c r="L17" s="25">
        <f>COUNTIFS('жами банкоматлар 2025'!$D:$D,$C17,'жами банкоматлар 2025'!$I:$I,"Way4",'жами банкоматлар 2025'!$G:$G,"NCR 6682")</f>
        <v>0</v>
      </c>
      <c r="M17" s="26">
        <f>COUNTIFS('жами банкоматлар 2025'!$D:$D,$C17,'жами банкоматлар 2025'!$I:$I,"Way4",'жами банкоматлар 2025'!$G:$G,"CINEO C2070")</f>
        <v>0</v>
      </c>
      <c r="N17" s="58">
        <f>COUNTIFS('жами банкоматлар 2025'!$D:$D,$C17,'жами банкоматлар 2025'!$I:$I,"Way4",'жами банкоматлар 2025'!$G:$G,"GRG P5800")</f>
        <v>0</v>
      </c>
      <c r="O17" s="27">
        <f t="shared" si="0"/>
        <v>0</v>
      </c>
      <c r="P17" s="25">
        <f>COUNTIFS('жами банкоматлар 2025'!$D:$D,$C17,'жами банкоматлар 2025'!$I:$I,"UzCard",'жами банкоматлар 2025'!$G:$G,"NCR 6622")</f>
        <v>0</v>
      </c>
      <c r="Q17" s="26">
        <f>COUNTIFS('жами банкоматлар 2025'!$D:$D,$C17,'жами банкоматлар 2025'!$I:$I,"UzCard",'жами банкоматлар 2025'!$G:$G,"NCR 6623")</f>
        <v>0</v>
      </c>
      <c r="R17" s="26">
        <f>COUNTIFS('жами банкоматлар 2025'!$D:$D,$C17,'жами банкоматлар 2025'!$I:$I,"UzCard",'жами банкоматлар 2025'!$G:$G,"NCR 6682")</f>
        <v>0</v>
      </c>
      <c r="S17" s="26">
        <f>COUNTIFS('жами банкоматлар 2025'!$D:$D,$C17,'жами банкоматлар 2025'!$I:$I,"UzCard",'жами банкоматлар 2025'!$G:$G,"CINEO C2070")</f>
        <v>0</v>
      </c>
      <c r="T17" s="26">
        <f>COUNTIFS('жами банкоматлар 2025'!$D:$D,$C17,'жами банкоматлар 2025'!$I:$I,"UzCard",'жами банкоматлар 2025'!$G:$G,"CINEO C4560")</f>
        <v>0</v>
      </c>
      <c r="U17" s="27">
        <f t="shared" si="1"/>
        <v>0</v>
      </c>
      <c r="V17" s="46">
        <f t="shared" si="2"/>
        <v>0</v>
      </c>
      <c r="W17" s="47">
        <v>8</v>
      </c>
      <c r="X17" s="46">
        <v>348</v>
      </c>
      <c r="Y17" s="51">
        <v>809</v>
      </c>
      <c r="Z17" s="55">
        <v>1</v>
      </c>
      <c r="AA17" s="46">
        <v>1</v>
      </c>
      <c r="AB17" s="42"/>
      <c r="AC17" s="42"/>
      <c r="AD17" s="42"/>
      <c r="AE17" s="22"/>
    </row>
    <row r="18" spans="1:31" ht="15.75" x14ac:dyDescent="0.25">
      <c r="A18" s="15">
        <v>16</v>
      </c>
      <c r="B18" s="24" t="s">
        <v>64</v>
      </c>
      <c r="C18" s="17" t="s">
        <v>764</v>
      </c>
      <c r="D18" s="18" t="s">
        <v>1747</v>
      </c>
      <c r="E18" s="25">
        <f>COUNTIFS('жами банкоматлар 2025'!$D:$D,$C18,'жами банкоматлар 2025'!$I:$I,"Humo",'жами банкоматлар 2025'!$G:$G,"CINEO C2040")</f>
        <v>0</v>
      </c>
      <c r="F18" s="26">
        <f>COUNTIFS('жами банкоматлар 2025'!$D:$D,$C18,'жами банкоматлар 2025'!$I:$I,"Humo",'жами банкоматлар 2025'!$G:$G,"CINEO C2070")</f>
        <v>0</v>
      </c>
      <c r="G18" s="26">
        <f>COUNTIFS('жами банкоматлар 2025'!$D:$D,$C18,'жами банкоматлар 2025'!$I:$I,"Humo",'жами банкоматлар 2025'!$G:$G,"NCR 6623")</f>
        <v>0</v>
      </c>
      <c r="H18" s="26">
        <f>COUNTIFS('жами банкоматлар 2025'!$D:$D,$C18,'жами банкоматлар 2025'!$I:$I,"Humo",'жами банкоматлар 2025'!$G:$G,"NCR 6682")</f>
        <v>0</v>
      </c>
      <c r="I18" s="58">
        <f>COUNTIFS('жами банкоматлар 2025'!$D:$D,$C18,'жами банкоматлар 2025'!$I:$I,"Humo",'жами банкоматлар 2025'!$G:$G,"GRG P5800")</f>
        <v>0</v>
      </c>
      <c r="J18" s="27">
        <f>+E18+F18+G18+H18+I18</f>
        <v>0</v>
      </c>
      <c r="K18" s="25">
        <f>COUNTIFS('жами банкоматлар 2025'!$D:$D,$C18,'жами банкоматлар 2025'!$I:$I,"Way4",'жами банкоматлар 2025'!$G:$G,"NCR 6623")</f>
        <v>0</v>
      </c>
      <c r="L18" s="25">
        <f>COUNTIFS('жами банкоматлар 2025'!$D:$D,$C18,'жами банкоматлар 2025'!$I:$I,"Way4",'жами банкоматлар 2025'!$G:$G,"NCR 6682")</f>
        <v>0</v>
      </c>
      <c r="M18" s="26">
        <f>COUNTIFS('жами банкоматлар 2025'!$D:$D,$C18,'жами банкоматлар 2025'!$I:$I,"Way4",'жами банкоматлар 2025'!$G:$G,"CINEO C2070")</f>
        <v>0</v>
      </c>
      <c r="N18" s="58">
        <f>COUNTIFS('жами банкоматлар 2025'!$D:$D,$C18,'жами банкоматлар 2025'!$I:$I,"Way4",'жами банкоматлар 2025'!$G:$G,"GRG P5800")</f>
        <v>0</v>
      </c>
      <c r="O18" s="27">
        <f>+K18+L18+M18+N18</f>
        <v>0</v>
      </c>
      <c r="P18" s="25">
        <f>COUNTIFS('жами банкоматлар 2025'!$D:$D,$C18,'жами банкоматлар 2025'!$I:$I,"UzCard",'жами банкоматлар 2025'!$G:$G,"NCR 6622")</f>
        <v>0</v>
      </c>
      <c r="Q18" s="26">
        <f>COUNTIFS('жами банкоматлар 2025'!$D:$D,$C18,'жами банкоматлар 2025'!$I:$I,"UzCard",'жами банкоматлар 2025'!$G:$G,"NCR 6623")</f>
        <v>0</v>
      </c>
      <c r="R18" s="26">
        <f>COUNTIFS('жами банкоматлар 2025'!$D:$D,$C18,'жами банкоматлар 2025'!$I:$I,"UzCard",'жами банкоматлар 2025'!$G:$G,"NCR 6682")</f>
        <v>0</v>
      </c>
      <c r="S18" s="26">
        <f>COUNTIFS('жами банкоматлар 2025'!$D:$D,$C18,'жами банкоматлар 2025'!$I:$I,"UzCard",'жами банкоматлар 2025'!$G:$G,"CINEO C2070")</f>
        <v>0</v>
      </c>
      <c r="T18" s="26">
        <f>COUNTIFS('жами банкоматлар 2025'!$D:$D,$C18,'жами банкоматлар 2025'!$I:$I,"UzCard",'жами банкоматлар 2025'!$G:$G,"CINEO C4560")</f>
        <v>0</v>
      </c>
      <c r="U18" s="27">
        <f>+P18+Q18+S18+T18</f>
        <v>0</v>
      </c>
      <c r="V18" s="46">
        <f>+U18+O18+J18</f>
        <v>0</v>
      </c>
      <c r="W18" s="47">
        <v>0</v>
      </c>
      <c r="X18" s="46">
        <v>0</v>
      </c>
      <c r="Y18" s="51">
        <v>0</v>
      </c>
      <c r="Z18" s="55">
        <v>0</v>
      </c>
      <c r="AA18" s="46">
        <v>0</v>
      </c>
      <c r="AB18" s="42"/>
      <c r="AC18" s="42"/>
      <c r="AD18" s="42"/>
      <c r="AE18" s="22"/>
    </row>
    <row r="19" spans="1:31" ht="15.75" x14ac:dyDescent="0.25">
      <c r="A19" s="15">
        <v>17</v>
      </c>
      <c r="B19" s="24" t="s">
        <v>64</v>
      </c>
      <c r="C19" s="17" t="s">
        <v>765</v>
      </c>
      <c r="D19" s="18" t="s">
        <v>1748</v>
      </c>
      <c r="E19" s="25">
        <f>COUNTIFS('жами банкоматлар 2025'!$D:$D,$C19,'жами банкоматлар 2025'!$I:$I,"Humo",'жами банкоматлар 2025'!$G:$G,"CINEO C2040")</f>
        <v>0</v>
      </c>
      <c r="F19" s="26">
        <f>COUNTIFS('жами банкоматлар 2025'!$D:$D,$C19,'жами банкоматлар 2025'!$I:$I,"Humo",'жами банкоматлар 2025'!$G:$G,"CINEO C2070")</f>
        <v>0</v>
      </c>
      <c r="G19" s="26">
        <f>COUNTIFS('жами банкоматлар 2025'!$D:$D,$C19,'жами банкоматлар 2025'!$I:$I,"Humo",'жами банкоматлар 2025'!$G:$G,"NCR 6623")</f>
        <v>0</v>
      </c>
      <c r="H19" s="26">
        <f>COUNTIFS('жами банкоматлар 2025'!$D:$D,$C19,'жами банкоматлар 2025'!$I:$I,"Humo",'жами банкоматлар 2025'!$G:$G,"NCR 6682")</f>
        <v>0</v>
      </c>
      <c r="I19" s="58">
        <f>COUNTIFS('жами банкоматлар 2025'!$D:$D,$C19,'жами банкоматлар 2025'!$I:$I,"Humo",'жами банкоматлар 2025'!$G:$G,"GRG P5800")</f>
        <v>0</v>
      </c>
      <c r="J19" s="27">
        <f>+E19+F19+G19+H19+I19</f>
        <v>0</v>
      </c>
      <c r="K19" s="25">
        <f>COUNTIFS('жами банкоматлар 2025'!$D:$D,$C19,'жами банкоматлар 2025'!$I:$I,"Way4",'жами банкоматлар 2025'!$G:$G,"NCR 6623")</f>
        <v>0</v>
      </c>
      <c r="L19" s="25">
        <f>COUNTIFS('жами банкоматлар 2025'!$D:$D,$C19,'жами банкоматлар 2025'!$I:$I,"Way4",'жами банкоматлар 2025'!$G:$G,"NCR 6682")</f>
        <v>0</v>
      </c>
      <c r="M19" s="26">
        <f>COUNTIFS('жами банкоматлар 2025'!$D:$D,$C19,'жами банкоматлар 2025'!$I:$I,"Way4",'жами банкоматлар 2025'!$G:$G,"CINEO C2070")</f>
        <v>0</v>
      </c>
      <c r="N19" s="58">
        <f>COUNTIFS('жами банкоматлар 2025'!$D:$D,$C19,'жами банкоматлар 2025'!$I:$I,"Way4",'жами банкоматлар 2025'!$G:$G,"GRG P5800")</f>
        <v>0</v>
      </c>
      <c r="O19" s="27">
        <f>+K19+L19+M19+N19</f>
        <v>0</v>
      </c>
      <c r="P19" s="25">
        <f>COUNTIFS('жами банкоматлар 2025'!$D:$D,$C19,'жами банкоматлар 2025'!$I:$I,"UzCard",'жами банкоматлар 2025'!$G:$G,"NCR 6622")</f>
        <v>0</v>
      </c>
      <c r="Q19" s="26">
        <f>COUNTIFS('жами банкоматлар 2025'!$D:$D,$C19,'жами банкоматлар 2025'!$I:$I,"UzCard",'жами банкоматлар 2025'!$G:$G,"NCR 6623")</f>
        <v>0</v>
      </c>
      <c r="R19" s="26">
        <f>COUNTIFS('жами банкоматлар 2025'!$D:$D,$C19,'жами банкоматлар 2025'!$I:$I,"UzCard",'жами банкоматлар 2025'!$G:$G,"NCR 6682")</f>
        <v>0</v>
      </c>
      <c r="S19" s="26">
        <f>COUNTIFS('жами банкоматлар 2025'!$D:$D,$C19,'жами банкоматлар 2025'!$I:$I,"UzCard",'жами банкоматлар 2025'!$G:$G,"CINEO C2070")</f>
        <v>0</v>
      </c>
      <c r="T19" s="26">
        <f>COUNTIFS('жами банкоматлар 2025'!$D:$D,$C19,'жами банкоматлар 2025'!$I:$I,"UzCard",'жами банкоматлар 2025'!$G:$G,"CINEO C4560")</f>
        <v>0</v>
      </c>
      <c r="U19" s="27">
        <f>+P19+Q19+S19+T19</f>
        <v>0</v>
      </c>
      <c r="V19" s="46">
        <f>+U19+O19+J19</f>
        <v>0</v>
      </c>
      <c r="W19" s="47">
        <v>0</v>
      </c>
      <c r="X19" s="46">
        <v>0</v>
      </c>
      <c r="Y19" s="51">
        <v>0</v>
      </c>
      <c r="Z19" s="55">
        <v>0</v>
      </c>
      <c r="AA19" s="46">
        <v>0</v>
      </c>
      <c r="AB19" s="42"/>
      <c r="AC19" s="42"/>
      <c r="AD19" s="42"/>
      <c r="AE19" s="22"/>
    </row>
    <row r="20" spans="1:31" ht="15.75" x14ac:dyDescent="0.25">
      <c r="A20" s="15">
        <v>18</v>
      </c>
      <c r="B20" s="24" t="s">
        <v>64</v>
      </c>
      <c r="C20" s="17" t="s">
        <v>766</v>
      </c>
      <c r="D20" s="18" t="s">
        <v>1749</v>
      </c>
      <c r="E20" s="25">
        <f>COUNTIFS('жами банкоматлар 2025'!$D:$D,$C20,'жами банкоматлар 2025'!$I:$I,"Humo",'жами банкоматлар 2025'!$G:$G,"CINEO C2040")</f>
        <v>0</v>
      </c>
      <c r="F20" s="26">
        <f>COUNTIFS('жами банкоматлар 2025'!$D:$D,$C20,'жами банкоматлар 2025'!$I:$I,"Humo",'жами банкоматлар 2025'!$G:$G,"CINEO C2070")</f>
        <v>0</v>
      </c>
      <c r="G20" s="26">
        <f>COUNTIFS('жами банкоматлар 2025'!$D:$D,$C20,'жами банкоматлар 2025'!$I:$I,"Humo",'жами банкоматлар 2025'!$G:$G,"NCR 6623")</f>
        <v>0</v>
      </c>
      <c r="H20" s="26">
        <f>COUNTIFS('жами банкоматлар 2025'!$D:$D,$C20,'жами банкоматлар 2025'!$I:$I,"Humo",'жами банкоматлар 2025'!$G:$G,"NCR 6682")</f>
        <v>0</v>
      </c>
      <c r="I20" s="58">
        <f>COUNTIFS('жами банкоматлар 2025'!$D:$D,$C20,'жами банкоматлар 2025'!$I:$I,"Humo",'жами банкоматлар 2025'!$G:$G,"GRG P5800")</f>
        <v>0</v>
      </c>
      <c r="J20" s="27">
        <f>+E20+F20+G20+H20+I20</f>
        <v>0</v>
      </c>
      <c r="K20" s="25">
        <f>COUNTIFS('жами банкоматлар 2025'!$D:$D,$C20,'жами банкоматлар 2025'!$I:$I,"Way4",'жами банкоматлар 2025'!$G:$G,"NCR 6623")</f>
        <v>0</v>
      </c>
      <c r="L20" s="25">
        <f>COUNTIFS('жами банкоматлар 2025'!$D:$D,$C20,'жами банкоматлар 2025'!$I:$I,"Way4",'жами банкоматлар 2025'!$G:$G,"NCR 6682")</f>
        <v>0</v>
      </c>
      <c r="M20" s="26">
        <f>COUNTIFS('жами банкоматлар 2025'!$D:$D,$C20,'жами банкоматлар 2025'!$I:$I,"Way4",'жами банкоматлар 2025'!$G:$G,"CINEO C2070")</f>
        <v>0</v>
      </c>
      <c r="N20" s="58">
        <f>COUNTIFS('жами банкоматлар 2025'!$D:$D,$C20,'жами банкоматлар 2025'!$I:$I,"Way4",'жами банкоматлар 2025'!$G:$G,"GRG P5800")</f>
        <v>0</v>
      </c>
      <c r="O20" s="27">
        <f>+K20+L20+M20+N20</f>
        <v>0</v>
      </c>
      <c r="P20" s="25">
        <f>COUNTIFS('жами банкоматлар 2025'!$D:$D,$C20,'жами банкоматлар 2025'!$I:$I,"UzCard",'жами банкоматлар 2025'!$G:$G,"NCR 6622")</f>
        <v>0</v>
      </c>
      <c r="Q20" s="26">
        <f>COUNTIFS('жами банкоматлар 2025'!$D:$D,$C20,'жами банкоматлар 2025'!$I:$I,"UzCard",'жами банкоматлар 2025'!$G:$G,"NCR 6623")</f>
        <v>0</v>
      </c>
      <c r="R20" s="26">
        <f>COUNTIFS('жами банкоматлар 2025'!$D:$D,$C20,'жами банкоматлар 2025'!$I:$I,"UzCard",'жами банкоматлар 2025'!$G:$G,"NCR 6682")</f>
        <v>0</v>
      </c>
      <c r="S20" s="26">
        <f>COUNTIFS('жами банкоматлар 2025'!$D:$D,$C20,'жами банкоматлар 2025'!$I:$I,"UzCard",'жами банкоматлар 2025'!$G:$G,"CINEO C2070")</f>
        <v>0</v>
      </c>
      <c r="T20" s="26">
        <f>COUNTIFS('жами банкоматлар 2025'!$D:$D,$C20,'жами банкоматлар 2025'!$I:$I,"UzCard",'жами банкоматлар 2025'!$G:$G,"CINEO C4560")</f>
        <v>0</v>
      </c>
      <c r="U20" s="27">
        <f>+P20+Q20+S20+T20</f>
        <v>0</v>
      </c>
      <c r="V20" s="46">
        <f>+U20+O20+J20</f>
        <v>0</v>
      </c>
      <c r="W20" s="47">
        <v>0</v>
      </c>
      <c r="X20" s="46">
        <v>0</v>
      </c>
      <c r="Y20" s="51">
        <v>0</v>
      </c>
      <c r="Z20" s="55">
        <v>0</v>
      </c>
      <c r="AA20" s="46">
        <v>0</v>
      </c>
      <c r="AB20" s="42"/>
      <c r="AC20" s="42"/>
      <c r="AD20" s="42"/>
      <c r="AE20" s="22"/>
    </row>
    <row r="21" spans="1:31" ht="15.75" x14ac:dyDescent="0.25">
      <c r="A21" s="15">
        <v>19</v>
      </c>
      <c r="B21" s="24" t="s">
        <v>164</v>
      </c>
      <c r="C21" s="17" t="e">
        <f>VLOOKUP(B21,'жами банкоматлар 2025'!C:D,2,0)</f>
        <v>#N/A</v>
      </c>
      <c r="D21" s="18" t="e">
        <f>VLOOKUP(B21,'жами банкоматлар 2025'!C:F,4,0)</f>
        <v>#N/A</v>
      </c>
      <c r="E21" s="25">
        <f>COUNTIFS('жами банкоматлар 2025'!$D:$D,$C21,'жами банкоматлар 2025'!$I:$I,"Humo",'жами банкоматлар 2025'!$G:$G,"CINEO C2040")</f>
        <v>0</v>
      </c>
      <c r="F21" s="26">
        <f>COUNTIFS('жами банкоматлар 2025'!$D:$D,$C21,'жами банкоматлар 2025'!$I:$I,"Humo",'жами банкоматлар 2025'!$G:$G,"CINEO C2070")</f>
        <v>0</v>
      </c>
      <c r="G21" s="26">
        <f>COUNTIFS('жами банкоматлар 2025'!$D:$D,$C21,'жами банкоматлар 2025'!$I:$I,"Humo",'жами банкоматлар 2025'!$G:$G,"NCR 6623")</f>
        <v>0</v>
      </c>
      <c r="H21" s="26">
        <f>COUNTIFS('жами банкоматлар 2025'!$D:$D,$C21,'жами банкоматлар 2025'!$I:$I,"Humo",'жами банкоматлар 2025'!$G:$G,"NCR 6682")</f>
        <v>0</v>
      </c>
      <c r="I21" s="58">
        <f>COUNTIFS('жами банкоматлар 2025'!$D:$D,$C21,'жами банкоматлар 2025'!$I:$I,"Humo",'жами банкоматлар 2025'!$G:$G,"GRG P5800")</f>
        <v>0</v>
      </c>
      <c r="J21" s="27">
        <f t="shared" si="3"/>
        <v>0</v>
      </c>
      <c r="K21" s="25">
        <f>COUNTIFS('жами банкоматлар 2025'!$D:$D,$C21,'жами банкоматлар 2025'!$I:$I,"Way4",'жами банкоматлар 2025'!$G:$G,"NCR 6623")</f>
        <v>0</v>
      </c>
      <c r="L21" s="25">
        <f>COUNTIFS('жами банкоматлар 2025'!$D:$D,$C21,'жами банкоматлар 2025'!$I:$I,"Way4",'жами банкоматлар 2025'!$G:$G,"NCR 6682")</f>
        <v>0</v>
      </c>
      <c r="M21" s="26">
        <f>COUNTIFS('жами банкоматлар 2025'!$D:$D,$C21,'жами банкоматлар 2025'!$I:$I,"Way4",'жами банкоматлар 2025'!$G:$G,"CINEO C2070")</f>
        <v>0</v>
      </c>
      <c r="N21" s="58">
        <f>COUNTIFS('жами банкоматлар 2025'!$D:$D,$C21,'жами банкоматлар 2025'!$I:$I,"Way4",'жами банкоматлар 2025'!$G:$G,"GRG P5800")</f>
        <v>0</v>
      </c>
      <c r="O21" s="27">
        <f t="shared" si="0"/>
        <v>0</v>
      </c>
      <c r="P21" s="25">
        <f>COUNTIFS('жами банкоматлар 2025'!$D:$D,$C21,'жами банкоматлар 2025'!$I:$I,"UzCard",'жами банкоматлар 2025'!$G:$G,"NCR 6622")</f>
        <v>0</v>
      </c>
      <c r="Q21" s="26">
        <f>COUNTIFS('жами банкоматлар 2025'!$D:$D,$C21,'жами банкоматлар 2025'!$I:$I,"UzCard",'жами банкоматлар 2025'!$G:$G,"NCR 6623")</f>
        <v>0</v>
      </c>
      <c r="R21" s="26">
        <f>COUNTIFS('жами банкоматлар 2025'!$D:$D,$C21,'жами банкоматлар 2025'!$I:$I,"UzCard",'жами банкоматлар 2025'!$G:$G,"NCR 6682")</f>
        <v>0</v>
      </c>
      <c r="S21" s="26">
        <f>COUNTIFS('жами банкоматлар 2025'!$D:$D,$C21,'жами банкоматлар 2025'!$I:$I,"UzCard",'жами банкоматлар 2025'!$G:$G,"CINEO C2070")</f>
        <v>0</v>
      </c>
      <c r="T21" s="26">
        <f>COUNTIFS('жами банкоматлар 2025'!$D:$D,$C21,'жами банкоматлар 2025'!$I:$I,"UzCard",'жами банкоматлар 2025'!$G:$G,"CINEO C4560")</f>
        <v>0</v>
      </c>
      <c r="U21" s="27">
        <f t="shared" si="1"/>
        <v>0</v>
      </c>
      <c r="V21" s="46">
        <f t="shared" si="2"/>
        <v>0</v>
      </c>
      <c r="W21" s="47">
        <v>4</v>
      </c>
      <c r="X21" s="46">
        <v>198</v>
      </c>
      <c r="Y21" s="51">
        <v>234</v>
      </c>
      <c r="Z21" s="55">
        <v>1</v>
      </c>
      <c r="AA21" s="46">
        <v>1</v>
      </c>
      <c r="AB21" s="42"/>
      <c r="AC21" s="42"/>
      <c r="AD21" s="42"/>
      <c r="AE21" s="22"/>
    </row>
    <row r="22" spans="1:31" ht="15.75" x14ac:dyDescent="0.25">
      <c r="A22" s="23">
        <v>20</v>
      </c>
      <c r="B22" s="24" t="s">
        <v>68</v>
      </c>
      <c r="C22" s="17" t="e">
        <f>VLOOKUP(B22,'жами банкоматлар 2025'!C:D,2,0)</f>
        <v>#N/A</v>
      </c>
      <c r="D22" s="18" t="e">
        <f>VLOOKUP(B22,'жами банкоматлар 2025'!C:F,4,0)</f>
        <v>#N/A</v>
      </c>
      <c r="E22" s="25">
        <f>COUNTIFS('жами банкоматлар 2025'!$D:$D,$C22,'жами банкоматлар 2025'!$I:$I,"Humo",'жами банкоматлар 2025'!$G:$G,"CINEO C2040")</f>
        <v>0</v>
      </c>
      <c r="F22" s="26">
        <f>COUNTIFS('жами банкоматлар 2025'!$D:$D,$C22,'жами банкоматлар 2025'!$I:$I,"Humo",'жами банкоматлар 2025'!$G:$G,"CINEO C2070")</f>
        <v>0</v>
      </c>
      <c r="G22" s="26">
        <f>COUNTIFS('жами банкоматлар 2025'!$D:$D,$C22,'жами банкоматлар 2025'!$I:$I,"Humo",'жами банкоматлар 2025'!$G:$G,"NCR 6623")</f>
        <v>0</v>
      </c>
      <c r="H22" s="26">
        <f>COUNTIFS('жами банкоматлар 2025'!$D:$D,$C22,'жами банкоматлар 2025'!$I:$I,"Humo",'жами банкоматлар 2025'!$G:$G,"NCR 6682")</f>
        <v>0</v>
      </c>
      <c r="I22" s="58">
        <f>COUNTIFS('жами банкоматлар 2025'!$D:$D,$C22,'жами банкоматлар 2025'!$I:$I,"Humo",'жами банкоматлар 2025'!$G:$G,"GRG P5800")</f>
        <v>0</v>
      </c>
      <c r="J22" s="27">
        <f t="shared" si="3"/>
        <v>0</v>
      </c>
      <c r="K22" s="25">
        <f>COUNTIFS('жами банкоматлар 2025'!$D:$D,$C22,'жами банкоматлар 2025'!$I:$I,"Way4",'жами банкоматлар 2025'!$G:$G,"NCR 6623")</f>
        <v>0</v>
      </c>
      <c r="L22" s="25">
        <f>COUNTIFS('жами банкоматлар 2025'!$D:$D,$C22,'жами банкоматлар 2025'!$I:$I,"Way4",'жами банкоматлар 2025'!$G:$G,"NCR 6682")</f>
        <v>0</v>
      </c>
      <c r="M22" s="26">
        <f>COUNTIFS('жами банкоматлар 2025'!$D:$D,$C22,'жами банкоматлар 2025'!$I:$I,"Way4",'жами банкоматлар 2025'!$G:$G,"CINEO C2070")</f>
        <v>0</v>
      </c>
      <c r="N22" s="58">
        <f>COUNTIFS('жами банкоматлар 2025'!$D:$D,$C22,'жами банкоматлар 2025'!$I:$I,"Way4",'жами банкоматлар 2025'!$G:$G,"GRG P5800")</f>
        <v>0</v>
      </c>
      <c r="O22" s="27">
        <f t="shared" si="0"/>
        <v>0</v>
      </c>
      <c r="P22" s="25">
        <f>COUNTIFS('жами банкоматлар 2025'!$D:$D,$C22,'жами банкоматлар 2025'!$I:$I,"UzCard",'жами банкоматлар 2025'!$G:$G,"NCR 6622")</f>
        <v>0</v>
      </c>
      <c r="Q22" s="26">
        <f>COUNTIFS('жами банкоматлар 2025'!$D:$D,$C22,'жами банкоматлар 2025'!$I:$I,"UzCard",'жами банкоматлар 2025'!$G:$G,"NCR 6623")</f>
        <v>0</v>
      </c>
      <c r="R22" s="26">
        <f>COUNTIFS('жами банкоматлар 2025'!$D:$D,$C22,'жами банкоматлар 2025'!$I:$I,"UzCard",'жами банкоматлар 2025'!$G:$G,"NCR 6682")</f>
        <v>0</v>
      </c>
      <c r="S22" s="26">
        <f>COUNTIFS('жами банкоматлар 2025'!$D:$D,$C22,'жами банкоматлар 2025'!$I:$I,"UzCard",'жами банкоматлар 2025'!$G:$G,"CINEO C2070")</f>
        <v>0</v>
      </c>
      <c r="T22" s="26">
        <f>COUNTIFS('жами банкоматлар 2025'!$D:$D,$C22,'жами банкоматлар 2025'!$I:$I,"UzCard",'жами банкоматлар 2025'!$G:$G,"CINEO C4560")</f>
        <v>0</v>
      </c>
      <c r="U22" s="27">
        <f t="shared" si="1"/>
        <v>0</v>
      </c>
      <c r="V22" s="46">
        <f t="shared" si="2"/>
        <v>0</v>
      </c>
      <c r="W22" s="47">
        <v>3</v>
      </c>
      <c r="X22" s="46">
        <v>443</v>
      </c>
      <c r="Y22" s="51">
        <v>492</v>
      </c>
      <c r="Z22" s="55">
        <v>1</v>
      </c>
      <c r="AA22" s="46">
        <v>1</v>
      </c>
      <c r="AB22" s="42"/>
      <c r="AC22" s="42"/>
      <c r="AD22" s="42"/>
      <c r="AE22" s="22"/>
    </row>
    <row r="23" spans="1:31" ht="15.75" x14ac:dyDescent="0.25">
      <c r="A23" s="23">
        <v>21</v>
      </c>
      <c r="B23" s="24" t="s">
        <v>72</v>
      </c>
      <c r="C23" s="17" t="s">
        <v>1724</v>
      </c>
      <c r="D23" s="18" t="s">
        <v>1736</v>
      </c>
      <c r="E23" s="25">
        <f>COUNTIFS('жами банкоматлар 2025'!$D:$D,$C23,'жами банкоматлар 2025'!$I:$I,"Humo",'жами банкоматлар 2025'!$G:$G,"CINEO C2040")</f>
        <v>0</v>
      </c>
      <c r="F23" s="26">
        <f>COUNTIFS('жами банкоматлар 2025'!$D:$D,$C23,'жами банкоматлар 2025'!$I:$I,"Humo",'жами банкоматлар 2025'!$G:$G,"CINEO C2070")</f>
        <v>0</v>
      </c>
      <c r="G23" s="26">
        <f>COUNTIFS('жами банкоматлар 2025'!$D:$D,$C23,'жами банкоматлар 2025'!$I:$I,"Humo",'жами банкоматлар 2025'!$G:$G,"NCR 6623")</f>
        <v>0</v>
      </c>
      <c r="H23" s="26">
        <f>COUNTIFS('жами банкоматлар 2025'!$D:$D,$C23,'жами банкоматлар 2025'!$I:$I,"Humo",'жами банкоматлар 2025'!$G:$G,"NCR 6682")</f>
        <v>0</v>
      </c>
      <c r="I23" s="58">
        <f>COUNTIFS('жами банкоматлар 2025'!$D:$D,$C23,'жами банкоматлар 2025'!$I:$I,"Humo",'жами банкоматлар 2025'!$G:$G,"GRG P5800")</f>
        <v>0</v>
      </c>
      <c r="J23" s="27">
        <f t="shared" si="3"/>
        <v>0</v>
      </c>
      <c r="K23" s="25">
        <f>COUNTIFS('жами банкоматлар 2025'!$D:$D,$C23,'жами банкоматлар 2025'!$I:$I,"Way4",'жами банкоматлар 2025'!$G:$G,"NCR 6623")</f>
        <v>0</v>
      </c>
      <c r="L23" s="25">
        <f>COUNTIFS('жами банкоматлар 2025'!$D:$D,$C23,'жами банкоматлар 2025'!$I:$I,"Way4",'жами банкоматлар 2025'!$G:$G,"NCR 6682")</f>
        <v>0</v>
      </c>
      <c r="M23" s="26">
        <f>COUNTIFS('жами банкоматлар 2025'!$D:$D,$C23,'жами банкоматлар 2025'!$I:$I,"Way4",'жами банкоматлар 2025'!$G:$G,"CINEO C2070")</f>
        <v>0</v>
      </c>
      <c r="N23" s="58">
        <f>COUNTIFS('жами банкоматлар 2025'!$D:$D,$C23,'жами банкоматлар 2025'!$I:$I,"Way4",'жами банкоматлар 2025'!$G:$G,"GRG P5800")</f>
        <v>0</v>
      </c>
      <c r="O23" s="27">
        <f t="shared" si="0"/>
        <v>0</v>
      </c>
      <c r="P23" s="25">
        <f>COUNTIFS('жами банкоматлар 2025'!$D:$D,$C23,'жами банкоматлар 2025'!$I:$I,"UzCard",'жами банкоматлар 2025'!$G:$G,"NCR 6622")</f>
        <v>0</v>
      </c>
      <c r="Q23" s="26">
        <f>COUNTIFS('жами банкоматлар 2025'!$D:$D,$C23,'жами банкоматлар 2025'!$I:$I,"UzCard",'жами банкоматлар 2025'!$G:$G,"NCR 6623")</f>
        <v>0</v>
      </c>
      <c r="R23" s="26">
        <f>COUNTIFS('жами банкоматлар 2025'!$D:$D,$C23,'жами банкоматлар 2025'!$I:$I,"UzCard",'жами банкоматлар 2025'!$G:$G,"NCR 6682")</f>
        <v>0</v>
      </c>
      <c r="S23" s="26">
        <f>COUNTIFS('жами банкоматлар 2025'!$D:$D,$C23,'жами банкоматлар 2025'!$I:$I,"UzCard",'жами банкоматлар 2025'!$G:$G,"CINEO C2070")</f>
        <v>0</v>
      </c>
      <c r="T23" s="26">
        <f>COUNTIFS('жами банкоматлар 2025'!$D:$D,$C23,'жами банкоматлар 2025'!$I:$I,"UzCard",'жами банкоматлар 2025'!$G:$G,"CINEO C4560")</f>
        <v>0</v>
      </c>
      <c r="U23" s="27">
        <f t="shared" si="1"/>
        <v>0</v>
      </c>
      <c r="V23" s="46">
        <f t="shared" si="2"/>
        <v>0</v>
      </c>
      <c r="W23" s="47">
        <v>2</v>
      </c>
      <c r="X23" s="46">
        <v>466</v>
      </c>
      <c r="Y23" s="51">
        <v>369</v>
      </c>
      <c r="Z23" s="55">
        <v>0</v>
      </c>
      <c r="AA23" s="46">
        <v>1</v>
      </c>
      <c r="AB23" s="42"/>
      <c r="AC23" s="42"/>
      <c r="AD23" s="42"/>
      <c r="AE23" s="22"/>
    </row>
    <row r="24" spans="1:31" ht="15.75" x14ac:dyDescent="0.25">
      <c r="A24" s="15">
        <v>22</v>
      </c>
      <c r="B24" s="24" t="s">
        <v>73</v>
      </c>
      <c r="C24" s="17" t="e">
        <f>VLOOKUP(B24,'жами банкоматлар 2025'!C:D,2,0)</f>
        <v>#N/A</v>
      </c>
      <c r="D24" s="18" t="e">
        <f>VLOOKUP(B24,'жами банкоматлар 2025'!C:F,4,0)</f>
        <v>#N/A</v>
      </c>
      <c r="E24" s="25">
        <f>COUNTIFS('жами банкоматлар 2025'!$D:$D,$C24,'жами банкоматлар 2025'!$I:$I,"Humo",'жами банкоматлар 2025'!$G:$G,"CINEO C2040")</f>
        <v>0</v>
      </c>
      <c r="F24" s="26">
        <f>COUNTIFS('жами банкоматлар 2025'!$D:$D,$C24,'жами банкоматлар 2025'!$I:$I,"Humo",'жами банкоматлар 2025'!$G:$G,"CINEO C2070")</f>
        <v>0</v>
      </c>
      <c r="G24" s="26">
        <f>COUNTIFS('жами банкоматлар 2025'!$D:$D,$C24,'жами банкоматлар 2025'!$I:$I,"Humo",'жами банкоматлар 2025'!$G:$G,"NCR 6623")</f>
        <v>0</v>
      </c>
      <c r="H24" s="26">
        <f>COUNTIFS('жами банкоматлар 2025'!$D:$D,$C24,'жами банкоматлар 2025'!$I:$I,"Humo",'жами банкоматлар 2025'!$G:$G,"NCR 6682")</f>
        <v>0</v>
      </c>
      <c r="I24" s="58">
        <f>COUNTIFS('жами банкоматлар 2025'!$D:$D,$C24,'жами банкоматлар 2025'!$I:$I,"Humo",'жами банкоматлар 2025'!$G:$G,"GRG P5800")</f>
        <v>0</v>
      </c>
      <c r="J24" s="27">
        <f t="shared" si="3"/>
        <v>0</v>
      </c>
      <c r="K24" s="25">
        <f>COUNTIFS('жами банкоматлар 2025'!$D:$D,$C24,'жами банкоматлар 2025'!$I:$I,"Way4",'жами банкоматлар 2025'!$G:$G,"NCR 6623")</f>
        <v>0</v>
      </c>
      <c r="L24" s="25">
        <f>COUNTIFS('жами банкоматлар 2025'!$D:$D,$C24,'жами банкоматлар 2025'!$I:$I,"Way4",'жами банкоматлар 2025'!$G:$G,"NCR 6682")</f>
        <v>0</v>
      </c>
      <c r="M24" s="26">
        <f>COUNTIFS('жами банкоматлар 2025'!$D:$D,$C24,'жами банкоматлар 2025'!$I:$I,"Way4",'жами банкоматлар 2025'!$G:$G,"CINEO C2070")</f>
        <v>0</v>
      </c>
      <c r="N24" s="58">
        <f>COUNTIFS('жами банкоматлар 2025'!$D:$D,$C24,'жами банкоматлар 2025'!$I:$I,"Way4",'жами банкоматлар 2025'!$G:$G,"GRG P5800")</f>
        <v>0</v>
      </c>
      <c r="O24" s="27">
        <f t="shared" si="0"/>
        <v>0</v>
      </c>
      <c r="P24" s="25">
        <f>COUNTIFS('жами банкоматлар 2025'!$D:$D,$C24,'жами банкоматлар 2025'!$I:$I,"UzCard",'жами банкоматлар 2025'!$G:$G,"NCR 6622")</f>
        <v>0</v>
      </c>
      <c r="Q24" s="26">
        <f>COUNTIFS('жами банкоматлар 2025'!$D:$D,$C24,'жами банкоматлар 2025'!$I:$I,"UzCard",'жами банкоматлар 2025'!$G:$G,"NCR 6623")</f>
        <v>0</v>
      </c>
      <c r="R24" s="26">
        <f>COUNTIFS('жами банкоматлар 2025'!$D:$D,$C24,'жами банкоматлар 2025'!$I:$I,"UzCard",'жами банкоматлар 2025'!$G:$G,"NCR 6682")</f>
        <v>0</v>
      </c>
      <c r="S24" s="26">
        <f>COUNTIFS('жами банкоматлар 2025'!$D:$D,$C24,'жами банкоматлар 2025'!$I:$I,"UzCard",'жами банкоматлар 2025'!$G:$G,"CINEO C2070")</f>
        <v>0</v>
      </c>
      <c r="T24" s="26">
        <f>COUNTIFS('жами банкоматлар 2025'!$D:$D,$C24,'жами банкоматлар 2025'!$I:$I,"UzCard",'жами банкоматлар 2025'!$G:$G,"CINEO C4560")</f>
        <v>0</v>
      </c>
      <c r="U24" s="27">
        <f t="shared" si="1"/>
        <v>0</v>
      </c>
      <c r="V24" s="46">
        <f t="shared" si="2"/>
        <v>0</v>
      </c>
      <c r="W24" s="47">
        <v>6</v>
      </c>
      <c r="X24" s="46">
        <v>536</v>
      </c>
      <c r="Y24" s="51">
        <v>518</v>
      </c>
      <c r="Z24" s="55">
        <v>1</v>
      </c>
      <c r="AA24" s="46">
        <v>1</v>
      </c>
      <c r="AB24" s="42"/>
      <c r="AC24" s="42"/>
      <c r="AD24" s="42"/>
      <c r="AE24" s="22"/>
    </row>
    <row r="25" spans="1:31" ht="15.75" x14ac:dyDescent="0.25">
      <c r="A25" s="23">
        <v>23</v>
      </c>
      <c r="B25" s="24" t="s">
        <v>88</v>
      </c>
      <c r="C25" s="17" t="e">
        <f>VLOOKUP(B25,'жами банкоматлар 2025'!C:D,2,0)</f>
        <v>#N/A</v>
      </c>
      <c r="D25" s="18" t="e">
        <f>VLOOKUP(B25,'жами банкоматлар 2025'!C:F,4,0)</f>
        <v>#N/A</v>
      </c>
      <c r="E25" s="25">
        <f>COUNTIFS('жами банкоматлар 2025'!$D:$D,$C25,'жами банкоматлар 2025'!$I:$I,"Humo",'жами банкоматлар 2025'!$G:$G,"CINEO C2040")</f>
        <v>0</v>
      </c>
      <c r="F25" s="26">
        <f>COUNTIFS('жами банкоматлар 2025'!$D:$D,$C25,'жами банкоматлар 2025'!$I:$I,"Humo",'жами банкоматлар 2025'!$G:$G,"CINEO C2070")</f>
        <v>0</v>
      </c>
      <c r="G25" s="26">
        <f>COUNTIFS('жами банкоматлар 2025'!$D:$D,$C25,'жами банкоматлар 2025'!$I:$I,"Humo",'жами банкоматлар 2025'!$G:$G,"NCR 6623")</f>
        <v>0</v>
      </c>
      <c r="H25" s="26">
        <f>COUNTIFS('жами банкоматлар 2025'!$D:$D,$C25,'жами банкоматлар 2025'!$I:$I,"Humo",'жами банкоматлар 2025'!$G:$G,"NCR 6682")</f>
        <v>0</v>
      </c>
      <c r="I25" s="58">
        <f>COUNTIFS('жами банкоматлар 2025'!$D:$D,$C25,'жами банкоматлар 2025'!$I:$I,"Humo",'жами банкоматлар 2025'!$G:$G,"GRG P5800")</f>
        <v>0</v>
      </c>
      <c r="J25" s="27">
        <f t="shared" si="3"/>
        <v>0</v>
      </c>
      <c r="K25" s="25">
        <f>COUNTIFS('жами банкоматлар 2025'!$D:$D,$C25,'жами банкоматлар 2025'!$I:$I,"Way4",'жами банкоматлар 2025'!$G:$G,"NCR 6623")</f>
        <v>0</v>
      </c>
      <c r="L25" s="25">
        <f>COUNTIFS('жами банкоматлар 2025'!$D:$D,$C25,'жами банкоматлар 2025'!$I:$I,"Way4",'жами банкоматлар 2025'!$G:$G,"NCR 6682")</f>
        <v>0</v>
      </c>
      <c r="M25" s="26">
        <f>COUNTIFS('жами банкоматлар 2025'!$D:$D,$C25,'жами банкоматлар 2025'!$I:$I,"Way4",'жами банкоматлар 2025'!$G:$G,"CINEO C2070")</f>
        <v>0</v>
      </c>
      <c r="N25" s="58">
        <f>COUNTIFS('жами банкоматлар 2025'!$D:$D,$C25,'жами банкоматлар 2025'!$I:$I,"Way4",'жами банкоматлар 2025'!$G:$G,"GRG P5800")</f>
        <v>0</v>
      </c>
      <c r="O25" s="27">
        <f t="shared" si="0"/>
        <v>0</v>
      </c>
      <c r="P25" s="25">
        <f>COUNTIFS('жами банкоматлар 2025'!$D:$D,$C25,'жами банкоматлар 2025'!$I:$I,"UzCard",'жами банкоматлар 2025'!$G:$G,"NCR 6622")</f>
        <v>0</v>
      </c>
      <c r="Q25" s="26">
        <f>COUNTIFS('жами банкоматлар 2025'!$D:$D,$C25,'жами банкоматлар 2025'!$I:$I,"UzCard",'жами банкоматлар 2025'!$G:$G,"NCR 6623")</f>
        <v>0</v>
      </c>
      <c r="R25" s="26">
        <f>COUNTIFS('жами банкоматлар 2025'!$D:$D,$C25,'жами банкоматлар 2025'!$I:$I,"UzCard",'жами банкоматлар 2025'!$G:$G,"NCR 6682")</f>
        <v>0</v>
      </c>
      <c r="S25" s="26">
        <f>COUNTIFS('жами банкоматлар 2025'!$D:$D,$C25,'жами банкоматлар 2025'!$I:$I,"UzCard",'жами банкоматлар 2025'!$G:$G,"CINEO C2070")</f>
        <v>0</v>
      </c>
      <c r="T25" s="26">
        <f>COUNTIFS('жами банкоматлар 2025'!$D:$D,$C25,'жами банкоматлар 2025'!$I:$I,"UzCard",'жами банкоматлар 2025'!$G:$G,"CINEO C4560")</f>
        <v>0</v>
      </c>
      <c r="U25" s="27">
        <f t="shared" si="1"/>
        <v>0</v>
      </c>
      <c r="V25" s="46">
        <f t="shared" si="2"/>
        <v>0</v>
      </c>
      <c r="W25" s="47">
        <v>5</v>
      </c>
      <c r="X25" s="46">
        <v>496</v>
      </c>
      <c r="Y25" s="51">
        <v>611</v>
      </c>
      <c r="Z25" s="55">
        <v>1</v>
      </c>
      <c r="AA25" s="46">
        <v>1</v>
      </c>
      <c r="AB25" s="42"/>
      <c r="AC25" s="42"/>
      <c r="AD25" s="42"/>
      <c r="AE25" s="22"/>
    </row>
    <row r="26" spans="1:31" ht="15.75" x14ac:dyDescent="0.25">
      <c r="A26" s="23">
        <v>24</v>
      </c>
      <c r="B26" s="24" t="s">
        <v>88</v>
      </c>
      <c r="C26" s="17" t="s">
        <v>769</v>
      </c>
      <c r="D26" s="18" t="s">
        <v>937</v>
      </c>
      <c r="E26" s="25">
        <f>COUNTIFS('жами банкоматлар 2025'!$D:$D,$C26,'жами банкоматлар 2025'!$I:$I,"Humo",'жами банкоматлар 2025'!$G:$G,"CINEO C2040")</f>
        <v>0</v>
      </c>
      <c r="F26" s="26">
        <f>COUNTIFS('жами банкоматлар 2025'!$D:$D,$C26,'жами банкоматлар 2025'!$I:$I,"Humo",'жами банкоматлар 2025'!$G:$G,"CINEO C2070")</f>
        <v>0</v>
      </c>
      <c r="G26" s="26">
        <f>COUNTIFS('жами банкоматлар 2025'!$D:$D,$C26,'жами банкоматлар 2025'!$I:$I,"Humo",'жами банкоматлар 2025'!$G:$G,"NCR 6623")</f>
        <v>0</v>
      </c>
      <c r="H26" s="26">
        <f>COUNTIFS('жами банкоматлар 2025'!$D:$D,$C26,'жами банкоматлар 2025'!$I:$I,"Humo",'жами банкоматлар 2025'!$G:$G,"NCR 6682")</f>
        <v>0</v>
      </c>
      <c r="I26" s="58">
        <f>COUNTIFS('жами банкоматлар 2025'!$D:$D,$C26,'жами банкоматлар 2025'!$I:$I,"Humo",'жами банкоматлар 2025'!$G:$G,"GRG P5800")</f>
        <v>0</v>
      </c>
      <c r="J26" s="27">
        <f>+E26+F26+G26+H26+I26</f>
        <v>0</v>
      </c>
      <c r="K26" s="25">
        <f>COUNTIFS('жами банкоматлар 2025'!$D:$D,$C26,'жами банкоматлар 2025'!$I:$I,"Way4",'жами банкоматлар 2025'!$G:$G,"NCR 6623")</f>
        <v>0</v>
      </c>
      <c r="L26" s="25">
        <f>COUNTIFS('жами банкоматлар 2025'!$D:$D,$C26,'жами банкоматлар 2025'!$I:$I,"Way4",'жами банкоматлар 2025'!$G:$G,"NCR 6682")</f>
        <v>0</v>
      </c>
      <c r="M26" s="26">
        <f>COUNTIFS('жами банкоматлар 2025'!$D:$D,$C26,'жами банкоматлар 2025'!$I:$I,"Way4",'жами банкоматлар 2025'!$G:$G,"CINEO C2070")</f>
        <v>0</v>
      </c>
      <c r="N26" s="58">
        <f>COUNTIFS('жами банкоматлар 2025'!$D:$D,$C26,'жами банкоматлар 2025'!$I:$I,"Way4",'жами банкоматлар 2025'!$G:$G,"GRG P5800")</f>
        <v>0</v>
      </c>
      <c r="O26" s="27">
        <f>+K26+L26+M26+N26</f>
        <v>0</v>
      </c>
      <c r="P26" s="25">
        <f>COUNTIFS('жами банкоматлар 2025'!$D:$D,$C26,'жами банкоматлар 2025'!$I:$I,"UzCard",'жами банкоматлар 2025'!$G:$G,"NCR 6622")</f>
        <v>0</v>
      </c>
      <c r="Q26" s="26">
        <f>COUNTIFS('жами банкоматлар 2025'!$D:$D,$C26,'жами банкоматлар 2025'!$I:$I,"UzCard",'жами банкоматлар 2025'!$G:$G,"NCR 6623")</f>
        <v>0</v>
      </c>
      <c r="R26" s="26">
        <f>COUNTIFS('жами банкоматлар 2025'!$D:$D,$C26,'жами банкоматлар 2025'!$I:$I,"UzCard",'жами банкоматлар 2025'!$G:$G,"NCR 6682")</f>
        <v>0</v>
      </c>
      <c r="S26" s="26">
        <f>COUNTIFS('жами банкоматлар 2025'!$D:$D,$C26,'жами банкоматлар 2025'!$I:$I,"UzCard",'жами банкоматлар 2025'!$G:$G,"CINEO C2070")</f>
        <v>0</v>
      </c>
      <c r="T26" s="26">
        <f>COUNTIFS('жами банкоматлар 2025'!$D:$D,$C26,'жами банкоматлар 2025'!$I:$I,"UzCard",'жами банкоматлар 2025'!$G:$G,"CINEO C4560")</f>
        <v>0</v>
      </c>
      <c r="U26" s="27">
        <f>+P26+Q26+S26+T26</f>
        <v>0</v>
      </c>
      <c r="V26" s="46">
        <f>+U26+O26+J26</f>
        <v>0</v>
      </c>
      <c r="W26" s="47">
        <v>0</v>
      </c>
      <c r="X26" s="46">
        <v>0</v>
      </c>
      <c r="Y26" s="51">
        <v>0</v>
      </c>
      <c r="Z26" s="55">
        <v>0</v>
      </c>
      <c r="AA26" s="46">
        <v>0</v>
      </c>
      <c r="AB26" s="42"/>
      <c r="AC26" s="42"/>
      <c r="AD26" s="42"/>
      <c r="AE26" s="22"/>
    </row>
    <row r="27" spans="1:31" ht="15.75" x14ac:dyDescent="0.25">
      <c r="A27" s="23">
        <v>25</v>
      </c>
      <c r="B27" s="24" t="s">
        <v>93</v>
      </c>
      <c r="C27" s="17" t="s">
        <v>234</v>
      </c>
      <c r="D27" s="18" t="s">
        <v>428</v>
      </c>
      <c r="E27" s="25">
        <f>COUNTIFS('жами банкоматлар 2025'!$D:$D,$C27,'жами банкоматлар 2025'!$I:$I,"Humo",'жами банкоматлар 2025'!$G:$G,"CINEO C2040")</f>
        <v>0</v>
      </c>
      <c r="F27" s="26">
        <f>COUNTIFS('жами банкоматлар 2025'!$D:$D,$C27,'жами банкоматлар 2025'!$I:$I,"Humo",'жами банкоматлар 2025'!$G:$G,"CINEO C2070")</f>
        <v>0</v>
      </c>
      <c r="G27" s="26">
        <f>COUNTIFS('жами банкоматлар 2025'!$D:$D,$C27,'жами банкоматлар 2025'!$I:$I,"Humo",'жами банкоматлар 2025'!$G:$G,"NCR 6623")</f>
        <v>0</v>
      </c>
      <c r="H27" s="26">
        <f>COUNTIFS('жами банкоматлар 2025'!$D:$D,$C27,'жами банкоматлар 2025'!$I:$I,"Humo",'жами банкоматлар 2025'!$G:$G,"NCR 6682")</f>
        <v>0</v>
      </c>
      <c r="I27" s="58">
        <f>COUNTIFS('жами банкоматлар 2025'!$D:$D,$C27,'жами банкоматлар 2025'!$I:$I,"Humo",'жами банкоматлар 2025'!$G:$G,"GRG P5800")</f>
        <v>0</v>
      </c>
      <c r="J27" s="27">
        <f t="shared" si="3"/>
        <v>0</v>
      </c>
      <c r="K27" s="25">
        <f>COUNTIFS('жами банкоматлар 2025'!$D:$D,$C27,'жами банкоматлар 2025'!$I:$I,"Way4",'жами банкоматлар 2025'!$G:$G,"NCR 6623")</f>
        <v>0</v>
      </c>
      <c r="L27" s="25">
        <f>COUNTIFS('жами банкоматлар 2025'!$D:$D,$C27,'жами банкоматлар 2025'!$I:$I,"Way4",'жами банкоматлар 2025'!$G:$G,"NCR 6682")</f>
        <v>0</v>
      </c>
      <c r="M27" s="26">
        <f>COUNTIFS('жами банкоматлар 2025'!$D:$D,$C27,'жами банкоматлар 2025'!$I:$I,"Way4",'жами банкоматлар 2025'!$G:$G,"CINEO C2070")</f>
        <v>0</v>
      </c>
      <c r="N27" s="58">
        <f>COUNTIFS('жами банкоматлар 2025'!$D:$D,$C27,'жами банкоматлар 2025'!$I:$I,"Way4",'жами банкоматлар 2025'!$G:$G,"GRG P5800")</f>
        <v>0</v>
      </c>
      <c r="O27" s="27">
        <f t="shared" si="0"/>
        <v>0</v>
      </c>
      <c r="P27" s="25">
        <f>COUNTIFS('жами банкоматлар 2025'!$D:$D,$C27,'жами банкоматлар 2025'!$I:$I,"UzCard",'жами банкоматлар 2025'!$G:$G,"NCR 6622")</f>
        <v>0</v>
      </c>
      <c r="Q27" s="26">
        <f>COUNTIFS('жами банкоматлар 2025'!$D:$D,$C27,'жами банкоматлар 2025'!$I:$I,"UzCard",'жами банкоматлар 2025'!$G:$G,"NCR 6623")</f>
        <v>0</v>
      </c>
      <c r="R27" s="26">
        <f>COUNTIFS('жами банкоматлар 2025'!$D:$D,$C27,'жами банкоматлар 2025'!$I:$I,"UzCard",'жами банкоматлар 2025'!$G:$G,"NCR 6682")</f>
        <v>0</v>
      </c>
      <c r="S27" s="26">
        <f>COUNTIFS('жами банкоматлар 2025'!$D:$D,$C27,'жами банкоматлар 2025'!$I:$I,"UzCard",'жами банкоматлар 2025'!$G:$G,"CINEO C2070")</f>
        <v>0</v>
      </c>
      <c r="T27" s="26">
        <f>COUNTIFS('жами банкоматлар 2025'!$D:$D,$C27,'жами банкоматлар 2025'!$I:$I,"UzCard",'жами банкоматлар 2025'!$G:$G,"CINEO C4560")</f>
        <v>0</v>
      </c>
      <c r="U27" s="27">
        <f t="shared" si="1"/>
        <v>0</v>
      </c>
      <c r="V27" s="46">
        <f t="shared" si="2"/>
        <v>0</v>
      </c>
      <c r="W27" s="47">
        <v>3</v>
      </c>
      <c r="X27" s="46">
        <v>252</v>
      </c>
      <c r="Y27" s="51">
        <v>269</v>
      </c>
      <c r="Z27" s="55">
        <v>0</v>
      </c>
      <c r="AA27" s="46">
        <v>1</v>
      </c>
      <c r="AB27" s="42"/>
      <c r="AC27" s="42"/>
      <c r="AD27" s="42"/>
      <c r="AE27" s="22"/>
    </row>
    <row r="28" spans="1:31" ht="15.75" x14ac:dyDescent="0.25">
      <c r="A28" s="15">
        <v>26</v>
      </c>
      <c r="B28" s="24" t="s">
        <v>94</v>
      </c>
      <c r="C28" s="17" t="e">
        <f>VLOOKUP(B28,'жами банкоматлар 2025'!C:D,2,0)</f>
        <v>#N/A</v>
      </c>
      <c r="D28" s="18" t="e">
        <f>VLOOKUP(B28,'жами банкоматлар 2025'!C:F,4,0)</f>
        <v>#N/A</v>
      </c>
      <c r="E28" s="25">
        <f>COUNTIFS('жами банкоматлар 2025'!$D:$D,$C28,'жами банкоматлар 2025'!$I:$I,"Humo",'жами банкоматлар 2025'!$G:$G,"CINEO C2040")</f>
        <v>0</v>
      </c>
      <c r="F28" s="26">
        <f>COUNTIFS('жами банкоматлар 2025'!$D:$D,$C28,'жами банкоматлар 2025'!$I:$I,"Humo",'жами банкоматлар 2025'!$G:$G,"CINEO C2070")</f>
        <v>0</v>
      </c>
      <c r="G28" s="26">
        <f>COUNTIFS('жами банкоматлар 2025'!$D:$D,$C28,'жами банкоматлар 2025'!$I:$I,"Humo",'жами банкоматлар 2025'!$G:$G,"NCR 6623")</f>
        <v>0</v>
      </c>
      <c r="H28" s="26">
        <f>COUNTIFS('жами банкоматлар 2025'!$D:$D,$C28,'жами банкоматлар 2025'!$I:$I,"Humo",'жами банкоматлар 2025'!$G:$G,"NCR 6682")</f>
        <v>0</v>
      </c>
      <c r="I28" s="58">
        <f>COUNTIFS('жами банкоматлар 2025'!$D:$D,$C28,'жами банкоматлар 2025'!$I:$I,"Humo",'жами банкоматлар 2025'!$G:$G,"GRG P5800")</f>
        <v>0</v>
      </c>
      <c r="J28" s="27">
        <f t="shared" si="3"/>
        <v>0</v>
      </c>
      <c r="K28" s="25">
        <f>COUNTIFS('жами банкоматлар 2025'!$D:$D,$C28,'жами банкоматлар 2025'!$I:$I,"Way4",'жами банкоматлар 2025'!$G:$G,"NCR 6623")</f>
        <v>0</v>
      </c>
      <c r="L28" s="25">
        <f>COUNTIFS('жами банкоматлар 2025'!$D:$D,$C28,'жами банкоматлар 2025'!$I:$I,"Way4",'жами банкоматлар 2025'!$G:$G,"NCR 6682")</f>
        <v>0</v>
      </c>
      <c r="M28" s="26">
        <f>COUNTIFS('жами банкоматлар 2025'!$D:$D,$C28,'жами банкоматлар 2025'!$I:$I,"Way4",'жами банкоматлар 2025'!$G:$G,"CINEO C2070")</f>
        <v>0</v>
      </c>
      <c r="N28" s="58">
        <f>COUNTIFS('жами банкоматлар 2025'!$D:$D,$C28,'жами банкоматлар 2025'!$I:$I,"Way4",'жами банкоматлар 2025'!$G:$G,"GRG P5800")</f>
        <v>0</v>
      </c>
      <c r="O28" s="27">
        <f t="shared" si="0"/>
        <v>0</v>
      </c>
      <c r="P28" s="25">
        <f>COUNTIFS('жами банкоматлар 2025'!$D:$D,$C28,'жами банкоматлар 2025'!$I:$I,"UzCard",'жами банкоматлар 2025'!$G:$G,"NCR 6622")</f>
        <v>0</v>
      </c>
      <c r="Q28" s="26">
        <f>COUNTIFS('жами банкоматлар 2025'!$D:$D,$C28,'жами банкоматлар 2025'!$I:$I,"UzCard",'жами банкоматлар 2025'!$G:$G,"NCR 6623")</f>
        <v>0</v>
      </c>
      <c r="R28" s="26">
        <f>COUNTIFS('жами банкоматлар 2025'!$D:$D,$C28,'жами банкоматлар 2025'!$I:$I,"UzCard",'жами банкоматлар 2025'!$G:$G,"NCR 6682")</f>
        <v>0</v>
      </c>
      <c r="S28" s="26">
        <f>COUNTIFS('жами банкоматлар 2025'!$D:$D,$C28,'жами банкоматлар 2025'!$I:$I,"UzCard",'жами банкоматлар 2025'!$G:$G,"CINEO C2070")</f>
        <v>0</v>
      </c>
      <c r="T28" s="26">
        <f>COUNTIFS('жами банкоматлар 2025'!$D:$D,$C28,'жами банкоматлар 2025'!$I:$I,"UzCard",'жами банкоматлар 2025'!$G:$G,"CINEO C4560")</f>
        <v>0</v>
      </c>
      <c r="U28" s="27">
        <f t="shared" si="1"/>
        <v>0</v>
      </c>
      <c r="V28" s="46">
        <f t="shared" si="2"/>
        <v>0</v>
      </c>
      <c r="W28" s="47">
        <v>1</v>
      </c>
      <c r="X28" s="46">
        <v>273</v>
      </c>
      <c r="Y28" s="51">
        <v>253</v>
      </c>
      <c r="Z28" s="55">
        <v>0</v>
      </c>
      <c r="AA28" s="46">
        <v>1</v>
      </c>
      <c r="AB28" s="42"/>
      <c r="AC28" s="42"/>
      <c r="AD28" s="42"/>
      <c r="AE28" s="22"/>
    </row>
    <row r="29" spans="1:31" ht="15.75" x14ac:dyDescent="0.25">
      <c r="A29" s="23">
        <v>27</v>
      </c>
      <c r="B29" s="24" t="s">
        <v>574</v>
      </c>
      <c r="C29" s="17">
        <v>11091</v>
      </c>
      <c r="D29" s="18" t="s">
        <v>729</v>
      </c>
      <c r="E29" s="25">
        <v>0</v>
      </c>
      <c r="F29" s="26">
        <v>0</v>
      </c>
      <c r="G29" s="26">
        <v>0</v>
      </c>
      <c r="H29" s="26">
        <v>0</v>
      </c>
      <c r="I29" s="58">
        <f>COUNTIFS('жами банкоматлар 2025'!$D:$D,$C29,'жами банкоматлар 2025'!$I:$I,"Humo",'жами банкоматлар 2025'!$G:$G,"GRG P5800")</f>
        <v>0</v>
      </c>
      <c r="J29" s="27">
        <f t="shared" si="3"/>
        <v>0</v>
      </c>
      <c r="K29" s="25">
        <v>0</v>
      </c>
      <c r="L29" s="25">
        <f>COUNTIFS('жами банкоматлар 2025'!$D:$D,$C29,'жами банкоматлар 2025'!$I:$I,"Way4",'жами банкоматлар 2025'!$G:$G,"NCR 6682")</f>
        <v>0</v>
      </c>
      <c r="M29" s="26">
        <v>0</v>
      </c>
      <c r="N29" s="58">
        <f>COUNTIFS('жами банкоматлар 2025'!$D:$D,$C29,'жами банкоматлар 2025'!$I:$I,"Way4",'жами банкоматлар 2025'!$G:$G,"GRG P5800")</f>
        <v>0</v>
      </c>
      <c r="O29" s="27">
        <f t="shared" si="0"/>
        <v>0</v>
      </c>
      <c r="P29" s="25">
        <v>0</v>
      </c>
      <c r="Q29" s="26">
        <v>0</v>
      </c>
      <c r="R29" s="26">
        <f>COUNTIFS('жами банкоматлар 2025'!$D:$D,$C29,'жами банкоматлар 2025'!$I:$I,"UzCard",'жами банкоматлар 2025'!$G:$G,"NCR 6682")</f>
        <v>0</v>
      </c>
      <c r="S29" s="26">
        <v>0</v>
      </c>
      <c r="T29" s="26">
        <v>0</v>
      </c>
      <c r="U29" s="27">
        <v>0</v>
      </c>
      <c r="V29" s="46">
        <v>0</v>
      </c>
      <c r="W29" s="47">
        <v>1</v>
      </c>
      <c r="X29" s="46">
        <v>357</v>
      </c>
      <c r="Y29" s="51">
        <v>531</v>
      </c>
      <c r="Z29" s="55">
        <v>1</v>
      </c>
      <c r="AA29" s="46">
        <v>1</v>
      </c>
      <c r="AB29" s="42"/>
      <c r="AC29" s="42"/>
      <c r="AD29" s="42"/>
      <c r="AE29" s="22"/>
    </row>
    <row r="30" spans="1:31" ht="15.75" x14ac:dyDescent="0.25">
      <c r="A30" s="23">
        <v>28</v>
      </c>
      <c r="B30" s="24" t="s">
        <v>179</v>
      </c>
      <c r="C30" s="17" t="e">
        <f>VLOOKUP(B30,'жами банкоматлар 2025'!C:D,2,0)</f>
        <v>#N/A</v>
      </c>
      <c r="D30" s="18" t="e">
        <f>VLOOKUP(B30,'жами банкоматлар 2025'!C:F,4,0)</f>
        <v>#N/A</v>
      </c>
      <c r="E30" s="25">
        <f>COUNTIFS('жами банкоматлар 2025'!$D:$D,$C30,'жами банкоматлар 2025'!$I:$I,"Humo",'жами банкоматлар 2025'!$G:$G,"CINEO C2040")</f>
        <v>0</v>
      </c>
      <c r="F30" s="26">
        <f>COUNTIFS('жами банкоматлар 2025'!$D:$D,$C30,'жами банкоматлар 2025'!$I:$I,"Humo",'жами банкоматлар 2025'!$G:$G,"CINEO C2070")</f>
        <v>0</v>
      </c>
      <c r="G30" s="26">
        <f>COUNTIFS('жами банкоматлар 2025'!$D:$D,$C30,'жами банкоматлар 2025'!$I:$I,"Humo",'жами банкоматлар 2025'!$G:$G,"NCR 6623")</f>
        <v>0</v>
      </c>
      <c r="H30" s="26">
        <f>COUNTIFS('жами банкоматлар 2025'!$D:$D,$C30,'жами банкоматлар 2025'!$I:$I,"Humo",'жами банкоматлар 2025'!$G:$G,"NCR 6682")</f>
        <v>0</v>
      </c>
      <c r="I30" s="58">
        <f>COUNTIFS('жами банкоматлар 2025'!$D:$D,$C30,'жами банкоматлар 2025'!$I:$I,"Humo",'жами банкоматлар 2025'!$G:$G,"GRG P5800")</f>
        <v>0</v>
      </c>
      <c r="J30" s="27">
        <f t="shared" si="3"/>
        <v>0</v>
      </c>
      <c r="K30" s="25">
        <f>COUNTIFS('жами банкоматлар 2025'!$D:$D,$C30,'жами банкоматлар 2025'!$I:$I,"Way4",'жами банкоматлар 2025'!$G:$G,"NCR 6623")</f>
        <v>0</v>
      </c>
      <c r="L30" s="25">
        <f>COUNTIFS('жами банкоматлар 2025'!$D:$D,$C30,'жами банкоматлар 2025'!$I:$I,"Way4",'жами банкоматлар 2025'!$G:$G,"NCR 6682")</f>
        <v>0</v>
      </c>
      <c r="M30" s="26">
        <f>COUNTIFS('жами банкоматлар 2025'!$D:$D,$C30,'жами банкоматлар 2025'!$I:$I,"Way4",'жами банкоматлар 2025'!$G:$G,"CINEO C2070")</f>
        <v>0</v>
      </c>
      <c r="N30" s="58">
        <f>COUNTIFS('жами банкоматлар 2025'!$D:$D,$C30,'жами банкоматлар 2025'!$I:$I,"Way4",'жами банкоматлар 2025'!$G:$G,"GRG P5800")</f>
        <v>0</v>
      </c>
      <c r="O30" s="27">
        <f t="shared" si="0"/>
        <v>0</v>
      </c>
      <c r="P30" s="25">
        <f>COUNTIFS('жами банкоматлар 2025'!$D:$D,$C30,'жами банкоматлар 2025'!$I:$I,"UzCard",'жами банкоматлар 2025'!$G:$G,"NCR 6622")</f>
        <v>0</v>
      </c>
      <c r="Q30" s="26">
        <f>COUNTIFS('жами банкоматлар 2025'!$D:$D,$C30,'жами банкоматлар 2025'!$I:$I,"UzCard",'жами банкоматлар 2025'!$G:$G,"NCR 6623")</f>
        <v>0</v>
      </c>
      <c r="R30" s="26">
        <f>COUNTIFS('жами банкоматлар 2025'!$D:$D,$C30,'жами банкоматлар 2025'!$I:$I,"UzCard",'жами банкоматлар 2025'!$G:$G,"NCR 6682")</f>
        <v>0</v>
      </c>
      <c r="S30" s="26">
        <f>COUNTIFS('жами банкоматлар 2025'!$D:$D,$C30,'жами банкоматлар 2025'!$I:$I,"UzCard",'жами банкоматлар 2025'!$G:$G,"CINEO C2070")</f>
        <v>0</v>
      </c>
      <c r="T30" s="26">
        <f>COUNTIFS('жами банкоматлар 2025'!$D:$D,$C30,'жами банкоматлар 2025'!$I:$I,"UzCard",'жами банкоматлар 2025'!$G:$G,"CINEO C4560")</f>
        <v>0</v>
      </c>
      <c r="U30" s="27">
        <f t="shared" si="1"/>
        <v>0</v>
      </c>
      <c r="V30" s="46">
        <f t="shared" ref="V30:V50" si="4">+U30+O30+J30</f>
        <v>0</v>
      </c>
      <c r="W30" s="47">
        <v>0</v>
      </c>
      <c r="X30" s="46">
        <v>96</v>
      </c>
      <c r="Y30" s="51">
        <v>306</v>
      </c>
      <c r="Z30" s="55">
        <v>1</v>
      </c>
      <c r="AA30" s="46">
        <v>1</v>
      </c>
      <c r="AB30" s="42"/>
      <c r="AC30" s="42"/>
      <c r="AD30" s="42"/>
      <c r="AE30" s="22"/>
    </row>
    <row r="31" spans="1:31" ht="15.75" x14ac:dyDescent="0.25">
      <c r="A31" s="15">
        <v>29</v>
      </c>
      <c r="B31" s="24" t="s">
        <v>96</v>
      </c>
      <c r="C31" s="17" t="e">
        <f>VLOOKUP(B31,'жами банкоматлар 2025'!C:D,2,0)</f>
        <v>#N/A</v>
      </c>
      <c r="D31" s="18" t="e">
        <f>VLOOKUP(B31,'жами банкоматлар 2025'!C:F,4,0)</f>
        <v>#N/A</v>
      </c>
      <c r="E31" s="25">
        <f>COUNTIFS('жами банкоматлар 2025'!$D:$D,$C31,'жами банкоматлар 2025'!$I:$I,"Humo",'жами банкоматлар 2025'!$G:$G,"CINEO C2040")</f>
        <v>0</v>
      </c>
      <c r="F31" s="26">
        <f>COUNTIFS('жами банкоматлар 2025'!$D:$D,$C31,'жами банкоматлар 2025'!$I:$I,"Humo",'жами банкоматлар 2025'!$G:$G,"CINEO C2070")</f>
        <v>0</v>
      </c>
      <c r="G31" s="26">
        <f>COUNTIFS('жами банкоматлар 2025'!$D:$D,$C31,'жами банкоматлар 2025'!$I:$I,"Humo",'жами банкоматлар 2025'!$G:$G,"NCR 6623")</f>
        <v>0</v>
      </c>
      <c r="H31" s="26">
        <f>COUNTIFS('жами банкоматлар 2025'!$D:$D,$C31,'жами банкоматлар 2025'!$I:$I,"Humo",'жами банкоматлар 2025'!$G:$G,"NCR 6682")</f>
        <v>0</v>
      </c>
      <c r="I31" s="58">
        <f>COUNTIFS('жами банкоматлар 2025'!$D:$D,$C31,'жами банкоматлар 2025'!$I:$I,"Humo",'жами банкоматлар 2025'!$G:$G,"GRG P5800")</f>
        <v>0</v>
      </c>
      <c r="J31" s="27">
        <f t="shared" si="3"/>
        <v>0</v>
      </c>
      <c r="K31" s="25">
        <f>COUNTIFS('жами банкоматлар 2025'!$D:$D,$C31,'жами банкоматлар 2025'!$I:$I,"Way4",'жами банкоматлар 2025'!$G:$G,"NCR 6623")</f>
        <v>0</v>
      </c>
      <c r="L31" s="25">
        <f>COUNTIFS('жами банкоматлар 2025'!$D:$D,$C31,'жами банкоматлар 2025'!$I:$I,"Way4",'жами банкоматлар 2025'!$G:$G,"NCR 6682")</f>
        <v>0</v>
      </c>
      <c r="M31" s="26">
        <f>COUNTIFS('жами банкоматлар 2025'!$D:$D,$C31,'жами банкоматлар 2025'!$I:$I,"Way4",'жами банкоматлар 2025'!$G:$G,"CINEO C2070")</f>
        <v>0</v>
      </c>
      <c r="N31" s="58">
        <f>COUNTIFS('жами банкоматлар 2025'!$D:$D,$C31,'жами банкоматлар 2025'!$I:$I,"Way4",'жами банкоматлар 2025'!$G:$G,"GRG P5800")</f>
        <v>0</v>
      </c>
      <c r="O31" s="27">
        <f t="shared" si="0"/>
        <v>0</v>
      </c>
      <c r="P31" s="25">
        <f>COUNTIFS('жами банкоматлар 2025'!$D:$D,$C31,'жами банкоматлар 2025'!$I:$I,"UzCard",'жами банкоматлар 2025'!$G:$G,"NCR 6622")</f>
        <v>0</v>
      </c>
      <c r="Q31" s="26">
        <f>COUNTIFS('жами банкоматлар 2025'!$D:$D,$C31,'жами банкоматлар 2025'!$I:$I,"UzCard",'жами банкоматлар 2025'!$G:$G,"NCR 6623")</f>
        <v>0</v>
      </c>
      <c r="R31" s="26">
        <f>COUNTIFS('жами банкоматлар 2025'!$D:$D,$C31,'жами банкоматлар 2025'!$I:$I,"UzCard",'жами банкоматлар 2025'!$G:$G,"NCR 6682")</f>
        <v>0</v>
      </c>
      <c r="S31" s="26">
        <f>COUNTIFS('жами банкоматлар 2025'!$D:$D,$C31,'жами банкоматлар 2025'!$I:$I,"UzCard",'жами банкоматлар 2025'!$G:$G,"CINEO C2070")</f>
        <v>0</v>
      </c>
      <c r="T31" s="26">
        <f>COUNTIFS('жами банкоматлар 2025'!$D:$D,$C31,'жами банкоматлар 2025'!$I:$I,"UzCard",'жами банкоматлар 2025'!$G:$G,"CINEO C4560")</f>
        <v>0</v>
      </c>
      <c r="U31" s="27">
        <f t="shared" si="1"/>
        <v>0</v>
      </c>
      <c r="V31" s="46">
        <f t="shared" si="4"/>
        <v>0</v>
      </c>
      <c r="W31" s="47">
        <v>5</v>
      </c>
      <c r="X31" s="46">
        <v>342</v>
      </c>
      <c r="Y31" s="51">
        <v>324</v>
      </c>
      <c r="Z31" s="55">
        <v>1</v>
      </c>
      <c r="AA31" s="46">
        <v>1</v>
      </c>
      <c r="AB31" s="42"/>
      <c r="AC31" s="42"/>
      <c r="AD31" s="42"/>
      <c r="AE31" s="22"/>
    </row>
    <row r="32" spans="1:31" ht="15.75" x14ac:dyDescent="0.25">
      <c r="A32" s="23">
        <v>30</v>
      </c>
      <c r="B32" s="24" t="s">
        <v>97</v>
      </c>
      <c r="C32" s="17" t="e">
        <f>VLOOKUP(B32,'жами банкоматлар 2025'!C:D,2,0)</f>
        <v>#N/A</v>
      </c>
      <c r="D32" s="18" t="e">
        <f>VLOOKUP(B32,'жами банкоматлар 2025'!C:F,4,0)</f>
        <v>#N/A</v>
      </c>
      <c r="E32" s="25">
        <f>COUNTIFS('жами банкоматлар 2025'!$D:$D,$C32,'жами банкоматлар 2025'!$I:$I,"Humo",'жами банкоматлар 2025'!$G:$G,"CINEO C2040")</f>
        <v>0</v>
      </c>
      <c r="F32" s="26">
        <f>COUNTIFS('жами банкоматлар 2025'!$D:$D,$C32,'жами банкоматлар 2025'!$I:$I,"Humo",'жами банкоматлар 2025'!$G:$G,"CINEO C2070")</f>
        <v>0</v>
      </c>
      <c r="G32" s="26">
        <f>COUNTIFS('жами банкоматлар 2025'!$D:$D,$C32,'жами банкоматлар 2025'!$I:$I,"Humo",'жами банкоматлар 2025'!$G:$G,"NCR 6623")</f>
        <v>0</v>
      </c>
      <c r="H32" s="26">
        <f>COUNTIFS('жами банкоматлар 2025'!$D:$D,$C32,'жами банкоматлар 2025'!$I:$I,"Humo",'жами банкоматлар 2025'!$G:$G,"NCR 6682")</f>
        <v>0</v>
      </c>
      <c r="I32" s="58">
        <f>COUNTIFS('жами банкоматлар 2025'!$D:$D,$C32,'жами банкоматлар 2025'!$I:$I,"Humo",'жами банкоматлар 2025'!$G:$G,"GRG P5800")</f>
        <v>0</v>
      </c>
      <c r="J32" s="27">
        <f t="shared" si="3"/>
        <v>0</v>
      </c>
      <c r="K32" s="25">
        <f>COUNTIFS('жами банкоматлар 2025'!$D:$D,$C32,'жами банкоматлар 2025'!$I:$I,"Way4",'жами банкоматлар 2025'!$G:$G,"NCR 6623")</f>
        <v>0</v>
      </c>
      <c r="L32" s="25">
        <f>COUNTIFS('жами банкоматлар 2025'!$D:$D,$C32,'жами банкоматлар 2025'!$I:$I,"Way4",'жами банкоматлар 2025'!$G:$G,"NCR 6682")</f>
        <v>0</v>
      </c>
      <c r="M32" s="26">
        <f>COUNTIFS('жами банкоматлар 2025'!$D:$D,$C32,'жами банкоматлар 2025'!$I:$I,"Way4",'жами банкоматлар 2025'!$G:$G,"CINEO C2070")</f>
        <v>0</v>
      </c>
      <c r="N32" s="58">
        <f>COUNTIFS('жами банкоматлар 2025'!$D:$D,$C32,'жами банкоматлар 2025'!$I:$I,"Way4",'жами банкоматлар 2025'!$G:$G,"GRG P5800")</f>
        <v>0</v>
      </c>
      <c r="O32" s="27">
        <f t="shared" si="0"/>
        <v>0</v>
      </c>
      <c r="P32" s="25">
        <f>COUNTIFS('жами банкоматлар 2025'!$D:$D,$C32,'жами банкоматлар 2025'!$I:$I,"UzCard",'жами банкоматлар 2025'!$G:$G,"NCR 6622")</f>
        <v>0</v>
      </c>
      <c r="Q32" s="26">
        <f>COUNTIFS('жами банкоматлар 2025'!$D:$D,$C32,'жами банкоматлар 2025'!$I:$I,"UzCard",'жами банкоматлар 2025'!$G:$G,"NCR 6623")</f>
        <v>0</v>
      </c>
      <c r="R32" s="26">
        <f>COUNTIFS('жами банкоматлар 2025'!$D:$D,$C32,'жами банкоматлар 2025'!$I:$I,"UzCard",'жами банкоматлар 2025'!$G:$G,"NCR 6682")</f>
        <v>0</v>
      </c>
      <c r="S32" s="26">
        <f>COUNTIFS('жами банкоматлар 2025'!$D:$D,$C32,'жами банкоматлар 2025'!$I:$I,"UzCard",'жами банкоматлар 2025'!$G:$G,"CINEO C2070")</f>
        <v>0</v>
      </c>
      <c r="T32" s="26">
        <f>COUNTIFS('жами банкоматлар 2025'!$D:$D,$C32,'жами банкоматлар 2025'!$I:$I,"UzCard",'жами банкоматлар 2025'!$G:$G,"CINEO C4560")</f>
        <v>0</v>
      </c>
      <c r="U32" s="27">
        <f t="shared" si="1"/>
        <v>0</v>
      </c>
      <c r="V32" s="46">
        <f t="shared" si="4"/>
        <v>0</v>
      </c>
      <c r="W32" s="47">
        <v>3</v>
      </c>
      <c r="X32" s="46">
        <v>433</v>
      </c>
      <c r="Y32" s="51">
        <v>447</v>
      </c>
      <c r="Z32" s="55">
        <v>1</v>
      </c>
      <c r="AA32" s="46">
        <v>1</v>
      </c>
      <c r="AB32" s="42"/>
      <c r="AC32" s="42"/>
      <c r="AD32" s="42"/>
      <c r="AE32" s="22"/>
    </row>
    <row r="33" spans="1:31" ht="15.75" x14ac:dyDescent="0.25">
      <c r="A33" s="23">
        <v>31</v>
      </c>
      <c r="B33" s="24" t="s">
        <v>100</v>
      </c>
      <c r="C33" s="17" t="e">
        <f>VLOOKUP(B33,'жами банкоматлар 2025'!C:D,2,0)</f>
        <v>#N/A</v>
      </c>
      <c r="D33" s="18" t="e">
        <f>VLOOKUP(B33,'жами банкоматлар 2025'!C:F,4,0)</f>
        <v>#N/A</v>
      </c>
      <c r="E33" s="25">
        <f>COUNTIFS('жами банкоматлар 2025'!$D:$D,$C33,'жами банкоматлар 2025'!$I:$I,"Humo",'жами банкоматлар 2025'!$G:$G,"CINEO C2040")</f>
        <v>0</v>
      </c>
      <c r="F33" s="26">
        <f>COUNTIFS('жами банкоматлар 2025'!$D:$D,$C33,'жами банкоматлар 2025'!$I:$I,"Humo",'жами банкоматлар 2025'!$G:$G,"CINEO C2070")</f>
        <v>0</v>
      </c>
      <c r="G33" s="26">
        <f>COUNTIFS('жами банкоматлар 2025'!$D:$D,$C33,'жами банкоматлар 2025'!$I:$I,"Humo",'жами банкоматлар 2025'!$G:$G,"NCR 6623")</f>
        <v>0</v>
      </c>
      <c r="H33" s="26">
        <f>COUNTIFS('жами банкоматлар 2025'!$D:$D,$C33,'жами банкоматлар 2025'!$I:$I,"Humo",'жами банкоматлар 2025'!$G:$G,"NCR 6682")</f>
        <v>0</v>
      </c>
      <c r="I33" s="58">
        <f>COUNTIFS('жами банкоматлар 2025'!$D:$D,$C33,'жами банкоматлар 2025'!$I:$I,"Humo",'жами банкоматлар 2025'!$G:$G,"GRG P5800")</f>
        <v>0</v>
      </c>
      <c r="J33" s="27">
        <f t="shared" si="3"/>
        <v>0</v>
      </c>
      <c r="K33" s="25">
        <f>COUNTIFS('жами банкоматлар 2025'!$D:$D,$C33,'жами банкоматлар 2025'!$I:$I,"Way4",'жами банкоматлар 2025'!$G:$G,"NCR 6623")</f>
        <v>0</v>
      </c>
      <c r="L33" s="25">
        <f>COUNTIFS('жами банкоматлар 2025'!$D:$D,$C33,'жами банкоматлар 2025'!$I:$I,"Way4",'жами банкоматлар 2025'!$G:$G,"NCR 6682")</f>
        <v>0</v>
      </c>
      <c r="M33" s="26">
        <f>COUNTIFS('жами банкоматлар 2025'!$D:$D,$C33,'жами банкоматлар 2025'!$I:$I,"Way4",'жами банкоматлар 2025'!$G:$G,"CINEO C2070")</f>
        <v>0</v>
      </c>
      <c r="N33" s="58">
        <f>COUNTIFS('жами банкоматлар 2025'!$D:$D,$C33,'жами банкоматлар 2025'!$I:$I,"Way4",'жами банкоматлар 2025'!$G:$G,"GRG P5800")</f>
        <v>0</v>
      </c>
      <c r="O33" s="27">
        <f t="shared" si="0"/>
        <v>0</v>
      </c>
      <c r="P33" s="25">
        <f>COUNTIFS('жами банкоматлар 2025'!$D:$D,$C33,'жами банкоматлар 2025'!$I:$I,"UzCard",'жами банкоматлар 2025'!$G:$G,"NCR 6622")</f>
        <v>0</v>
      </c>
      <c r="Q33" s="26">
        <f>COUNTIFS('жами банкоматлар 2025'!$D:$D,$C33,'жами банкоматлар 2025'!$I:$I,"UzCard",'жами банкоматлар 2025'!$G:$G,"NCR 6623")</f>
        <v>0</v>
      </c>
      <c r="R33" s="26">
        <f>COUNTIFS('жами банкоматлар 2025'!$D:$D,$C33,'жами банкоматлар 2025'!$I:$I,"UzCard",'жами банкоматлар 2025'!$G:$G,"NCR 6682")</f>
        <v>0</v>
      </c>
      <c r="S33" s="26">
        <f>COUNTIFS('жами банкоматлар 2025'!$D:$D,$C33,'жами банкоматлар 2025'!$I:$I,"UzCard",'жами банкоматлар 2025'!$G:$G,"CINEO C2070")</f>
        <v>0</v>
      </c>
      <c r="T33" s="26">
        <f>COUNTIFS('жами банкоматлар 2025'!$D:$D,$C33,'жами банкоматлар 2025'!$I:$I,"UzCard",'жами банкоматлар 2025'!$G:$G,"CINEO C4560")</f>
        <v>0</v>
      </c>
      <c r="U33" s="27">
        <f t="shared" si="1"/>
        <v>0</v>
      </c>
      <c r="V33" s="46">
        <f t="shared" si="4"/>
        <v>0</v>
      </c>
      <c r="W33" s="47">
        <v>4</v>
      </c>
      <c r="X33" s="46">
        <v>352</v>
      </c>
      <c r="Y33" s="51">
        <v>459</v>
      </c>
      <c r="Z33" s="55">
        <v>1</v>
      </c>
      <c r="AA33" s="46">
        <v>1</v>
      </c>
      <c r="AB33" s="42"/>
      <c r="AC33" s="42"/>
      <c r="AD33" s="42"/>
      <c r="AE33" s="22"/>
    </row>
    <row r="34" spans="1:31" ht="15.75" x14ac:dyDescent="0.25">
      <c r="A34" s="15">
        <v>32</v>
      </c>
      <c r="B34" s="24" t="s">
        <v>101</v>
      </c>
      <c r="C34" s="17" t="e">
        <f>VLOOKUP(B34,'жами банкоматлар 2025'!C:D,2,0)</f>
        <v>#N/A</v>
      </c>
      <c r="D34" s="18" t="e">
        <f>VLOOKUP(B34,'жами банкоматлар 2025'!C:F,4,0)</f>
        <v>#N/A</v>
      </c>
      <c r="E34" s="25">
        <f>COUNTIFS('жами банкоматлар 2025'!$D:$D,$C34,'жами банкоматлар 2025'!$I:$I,"Humo",'жами банкоматлар 2025'!$G:$G,"CINEO C2040")</f>
        <v>0</v>
      </c>
      <c r="F34" s="26">
        <f>COUNTIFS('жами банкоматлар 2025'!$D:$D,$C34,'жами банкоматлар 2025'!$I:$I,"Humo",'жами банкоматлар 2025'!$G:$G,"CINEO C2070")</f>
        <v>0</v>
      </c>
      <c r="G34" s="26">
        <f>COUNTIFS('жами банкоматлар 2025'!$D:$D,$C34,'жами банкоматлар 2025'!$I:$I,"Humo",'жами банкоматлар 2025'!$G:$G,"NCR 6623")</f>
        <v>0</v>
      </c>
      <c r="H34" s="26">
        <f>COUNTIFS('жами банкоматлар 2025'!$D:$D,$C34,'жами банкоматлар 2025'!$I:$I,"Humo",'жами банкоматлар 2025'!$G:$G,"NCR 6682")</f>
        <v>0</v>
      </c>
      <c r="I34" s="58">
        <f>COUNTIFS('жами банкоматлар 2025'!$D:$D,$C34,'жами банкоматлар 2025'!$I:$I,"Humo",'жами банкоматлар 2025'!$G:$G,"GRG P5800")</f>
        <v>0</v>
      </c>
      <c r="J34" s="27">
        <f t="shared" si="3"/>
        <v>0</v>
      </c>
      <c r="K34" s="25">
        <f>COUNTIFS('жами банкоматлар 2025'!$D:$D,$C34,'жами банкоматлар 2025'!$I:$I,"Way4",'жами банкоматлар 2025'!$G:$G,"NCR 6623")</f>
        <v>0</v>
      </c>
      <c r="L34" s="25">
        <f>COUNTIFS('жами банкоматлар 2025'!$D:$D,$C34,'жами банкоматлар 2025'!$I:$I,"Way4",'жами банкоматлар 2025'!$G:$G,"NCR 6682")</f>
        <v>0</v>
      </c>
      <c r="M34" s="26">
        <f>COUNTIFS('жами банкоматлар 2025'!$D:$D,$C34,'жами банкоматлар 2025'!$I:$I,"Way4",'жами банкоматлар 2025'!$G:$G,"CINEO C2070")</f>
        <v>0</v>
      </c>
      <c r="N34" s="58">
        <f>COUNTIFS('жами банкоматлар 2025'!$D:$D,$C34,'жами банкоматлар 2025'!$I:$I,"Way4",'жами банкоматлар 2025'!$G:$G,"GRG P5800")</f>
        <v>0</v>
      </c>
      <c r="O34" s="27">
        <f t="shared" si="0"/>
        <v>0</v>
      </c>
      <c r="P34" s="25">
        <f>COUNTIFS('жами банкоматлар 2025'!$D:$D,$C34,'жами банкоматлар 2025'!$I:$I,"UzCard",'жами банкоматлар 2025'!$G:$G,"NCR 6622")</f>
        <v>0</v>
      </c>
      <c r="Q34" s="26">
        <f>COUNTIFS('жами банкоматлар 2025'!$D:$D,$C34,'жами банкоматлар 2025'!$I:$I,"UzCard",'жами банкоматлар 2025'!$G:$G,"NCR 6623")</f>
        <v>0</v>
      </c>
      <c r="R34" s="26">
        <f>COUNTIFS('жами банкоматлар 2025'!$D:$D,$C34,'жами банкоматлар 2025'!$I:$I,"UzCard",'жами банкоматлар 2025'!$G:$G,"NCR 6682")</f>
        <v>0</v>
      </c>
      <c r="S34" s="26">
        <f>COUNTIFS('жами банкоматлар 2025'!$D:$D,$C34,'жами банкоматлар 2025'!$I:$I,"UzCard",'жами банкоматлар 2025'!$G:$G,"CINEO C2070")</f>
        <v>0</v>
      </c>
      <c r="T34" s="26">
        <f>COUNTIFS('жами банкоматлар 2025'!$D:$D,$C34,'жами банкоматлар 2025'!$I:$I,"UzCard",'жами банкоматлар 2025'!$G:$G,"CINEO C4560")</f>
        <v>0</v>
      </c>
      <c r="U34" s="27">
        <f t="shared" si="1"/>
        <v>0</v>
      </c>
      <c r="V34" s="46">
        <f t="shared" si="4"/>
        <v>0</v>
      </c>
      <c r="W34" s="47">
        <v>2</v>
      </c>
      <c r="X34" s="46">
        <v>346</v>
      </c>
      <c r="Y34" s="51">
        <v>348</v>
      </c>
      <c r="Z34" s="55">
        <v>1</v>
      </c>
      <c r="AA34" s="46">
        <v>1</v>
      </c>
      <c r="AB34" s="42"/>
      <c r="AC34" s="42"/>
      <c r="AD34" s="42"/>
      <c r="AE34" s="22"/>
    </row>
    <row r="35" spans="1:31" ht="15.75" x14ac:dyDescent="0.25">
      <c r="A35" s="23">
        <v>33</v>
      </c>
      <c r="B35" s="24" t="s">
        <v>106</v>
      </c>
      <c r="C35" s="17" t="e">
        <f>VLOOKUP(B35,'жами банкоматлар 2025'!C:D,2,0)</f>
        <v>#N/A</v>
      </c>
      <c r="D35" s="18" t="e">
        <f>VLOOKUP(B35,'жами банкоматлар 2025'!C:F,4,0)</f>
        <v>#N/A</v>
      </c>
      <c r="E35" s="25">
        <f>COUNTIFS('жами банкоматлар 2025'!$D:$D,$C35,'жами банкоматлар 2025'!$I:$I,"Humo",'жами банкоматлар 2025'!$G:$G,"CINEO C2040")</f>
        <v>0</v>
      </c>
      <c r="F35" s="26">
        <f>COUNTIFS('жами банкоматлар 2025'!$D:$D,$C35,'жами банкоматлар 2025'!$I:$I,"Humo",'жами банкоматлар 2025'!$G:$G,"CINEO C2070")</f>
        <v>0</v>
      </c>
      <c r="G35" s="26">
        <f>COUNTIFS('жами банкоматлар 2025'!$D:$D,$C35,'жами банкоматлар 2025'!$I:$I,"Humo",'жами банкоматлар 2025'!$G:$G,"NCR 6623")</f>
        <v>0</v>
      </c>
      <c r="H35" s="26">
        <f>COUNTIFS('жами банкоматлар 2025'!$D:$D,$C35,'жами банкоматлар 2025'!$I:$I,"Humo",'жами банкоматлар 2025'!$G:$G,"NCR 6682")</f>
        <v>0</v>
      </c>
      <c r="I35" s="58">
        <f>COUNTIFS('жами банкоматлар 2025'!$D:$D,$C35,'жами банкоматлар 2025'!$I:$I,"Humo",'жами банкоматлар 2025'!$G:$G,"GRG P5800")</f>
        <v>0</v>
      </c>
      <c r="J35" s="27">
        <f t="shared" si="3"/>
        <v>0</v>
      </c>
      <c r="K35" s="25">
        <f>COUNTIFS('жами банкоматлар 2025'!$D:$D,$C35,'жами банкоматлар 2025'!$I:$I,"Way4",'жами банкоматлар 2025'!$G:$G,"NCR 6623")</f>
        <v>0</v>
      </c>
      <c r="L35" s="25">
        <f>COUNTIFS('жами банкоматлар 2025'!$D:$D,$C35,'жами банкоматлар 2025'!$I:$I,"Way4",'жами банкоматлар 2025'!$G:$G,"NCR 6682")</f>
        <v>0</v>
      </c>
      <c r="M35" s="26">
        <f>COUNTIFS('жами банкоматлар 2025'!$D:$D,$C35,'жами банкоматлар 2025'!$I:$I,"Way4",'жами банкоматлар 2025'!$G:$G,"CINEO C2070")</f>
        <v>0</v>
      </c>
      <c r="N35" s="58">
        <f>COUNTIFS('жами банкоматлар 2025'!$D:$D,$C35,'жами банкоматлар 2025'!$I:$I,"Way4",'жами банкоматлар 2025'!$G:$G,"GRG P5800")</f>
        <v>0</v>
      </c>
      <c r="O35" s="27">
        <f t="shared" si="0"/>
        <v>0</v>
      </c>
      <c r="P35" s="25">
        <f>COUNTIFS('жами банкоматлар 2025'!$D:$D,$C35,'жами банкоматлар 2025'!$I:$I,"UzCard",'жами банкоматлар 2025'!$G:$G,"NCR 6622")</f>
        <v>0</v>
      </c>
      <c r="Q35" s="26">
        <f>COUNTIFS('жами банкоматлар 2025'!$D:$D,$C35,'жами банкоматлар 2025'!$I:$I,"UzCard",'жами банкоматлар 2025'!$G:$G,"NCR 6623")</f>
        <v>0</v>
      </c>
      <c r="R35" s="26">
        <f>COUNTIFS('жами банкоматлар 2025'!$D:$D,$C35,'жами банкоматлар 2025'!$I:$I,"UzCard",'жами банкоматлар 2025'!$G:$G,"NCR 6682")</f>
        <v>0</v>
      </c>
      <c r="S35" s="26">
        <f>COUNTIFS('жами банкоматлар 2025'!$D:$D,$C35,'жами банкоматлар 2025'!$I:$I,"UzCard",'жами банкоматлар 2025'!$G:$G,"CINEO C2070")</f>
        <v>0</v>
      </c>
      <c r="T35" s="26">
        <f>COUNTIFS('жами банкоматлар 2025'!$D:$D,$C35,'жами банкоматлар 2025'!$I:$I,"UzCard",'жами банкоматлар 2025'!$G:$G,"CINEO C4560")</f>
        <v>0</v>
      </c>
      <c r="U35" s="27">
        <f t="shared" si="1"/>
        <v>0</v>
      </c>
      <c r="V35" s="46">
        <f t="shared" si="4"/>
        <v>0</v>
      </c>
      <c r="W35" s="47">
        <v>2</v>
      </c>
      <c r="X35" s="46">
        <v>233</v>
      </c>
      <c r="Y35" s="51">
        <v>406</v>
      </c>
      <c r="Z35" s="55">
        <v>1</v>
      </c>
      <c r="AA35" s="46">
        <v>1</v>
      </c>
      <c r="AB35" s="42"/>
      <c r="AC35" s="42"/>
      <c r="AD35" s="42"/>
      <c r="AE35" s="22"/>
    </row>
    <row r="36" spans="1:31" ht="15.75" x14ac:dyDescent="0.25">
      <c r="A36" s="23">
        <v>34</v>
      </c>
      <c r="B36" s="24" t="s">
        <v>130</v>
      </c>
      <c r="C36" s="17" t="s">
        <v>1725</v>
      </c>
      <c r="D36" s="18" t="s">
        <v>435</v>
      </c>
      <c r="E36" s="25">
        <f>COUNTIFS('жами банкоматлар 2025'!$D:$D,$C36,'жами банкоматлар 2025'!$I:$I,"Humo",'жами банкоматлар 2025'!$G:$G,"CINEO C2040")</f>
        <v>0</v>
      </c>
      <c r="F36" s="26">
        <f>COUNTIFS('жами банкоматлар 2025'!$D:$D,$C36,'жами банкоматлар 2025'!$I:$I,"Humo",'жами банкоматлар 2025'!$G:$G,"CINEO C2070")</f>
        <v>0</v>
      </c>
      <c r="G36" s="26">
        <f>COUNTIFS('жами банкоматлар 2025'!$D:$D,$C36,'жами банкоматлар 2025'!$I:$I,"Humo",'жами банкоматлар 2025'!$G:$G,"NCR 6623")</f>
        <v>0</v>
      </c>
      <c r="H36" s="26">
        <f>COUNTIFS('жами банкоматлар 2025'!$D:$D,$C36,'жами банкоматлар 2025'!$I:$I,"Humo",'жами банкоматлар 2025'!$G:$G,"NCR 6682")</f>
        <v>0</v>
      </c>
      <c r="I36" s="58">
        <f>COUNTIFS('жами банкоматлар 2025'!$D:$D,$C36,'жами банкоматлар 2025'!$I:$I,"Humo",'жами банкоматлар 2025'!$G:$G,"GRG P5800")</f>
        <v>0</v>
      </c>
      <c r="J36" s="27">
        <f t="shared" si="3"/>
        <v>0</v>
      </c>
      <c r="K36" s="25">
        <f>COUNTIFS('жами банкоматлар 2025'!$D:$D,$C36,'жами банкоматлар 2025'!$I:$I,"Way4",'жами банкоматлар 2025'!$G:$G,"NCR 6623")</f>
        <v>0</v>
      </c>
      <c r="L36" s="25">
        <f>COUNTIFS('жами банкоматлар 2025'!$D:$D,$C36,'жами банкоматлар 2025'!$I:$I,"Way4",'жами банкоматлар 2025'!$G:$G,"NCR 6682")</f>
        <v>0</v>
      </c>
      <c r="M36" s="26">
        <f>COUNTIFS('жами банкоматлар 2025'!$D:$D,$C36,'жами банкоматлар 2025'!$I:$I,"Way4",'жами банкоматлар 2025'!$G:$G,"CINEO C2070")</f>
        <v>0</v>
      </c>
      <c r="N36" s="58">
        <f>COUNTIFS('жами банкоматлар 2025'!$D:$D,$C36,'жами банкоматлар 2025'!$I:$I,"Way4",'жами банкоматлар 2025'!$G:$G,"GRG P5800")</f>
        <v>0</v>
      </c>
      <c r="O36" s="27">
        <f t="shared" si="0"/>
        <v>0</v>
      </c>
      <c r="P36" s="25">
        <f>COUNTIFS('жами банкоматлар 2025'!$D:$D,$C36,'жами банкоматлар 2025'!$I:$I,"UzCard",'жами банкоматлар 2025'!$G:$G,"NCR 6622")</f>
        <v>0</v>
      </c>
      <c r="Q36" s="26">
        <f>COUNTIFS('жами банкоматлар 2025'!$D:$D,$C36,'жами банкоматлар 2025'!$I:$I,"UzCard",'жами банкоматлар 2025'!$G:$G,"NCR 6623")</f>
        <v>0</v>
      </c>
      <c r="R36" s="26">
        <f>COUNTIFS('жами банкоматлар 2025'!$D:$D,$C36,'жами банкоматлар 2025'!$I:$I,"UzCard",'жами банкоматлар 2025'!$G:$G,"NCR 6682")</f>
        <v>0</v>
      </c>
      <c r="S36" s="26">
        <f>COUNTIFS('жами банкоматлар 2025'!$D:$D,$C36,'жами банкоматлар 2025'!$I:$I,"UzCard",'жами банкоматлар 2025'!$G:$G,"CINEO C2070")</f>
        <v>0</v>
      </c>
      <c r="T36" s="26">
        <f>COUNTIFS('жами банкоматлар 2025'!$D:$D,$C36,'жами банкоматлар 2025'!$I:$I,"UzCard",'жами банкоматлар 2025'!$G:$G,"CINEO C4560")</f>
        <v>0</v>
      </c>
      <c r="U36" s="27">
        <f t="shared" si="1"/>
        <v>0</v>
      </c>
      <c r="V36" s="46">
        <f t="shared" si="4"/>
        <v>0</v>
      </c>
      <c r="W36" s="47">
        <v>3</v>
      </c>
      <c r="X36" s="46">
        <v>264</v>
      </c>
      <c r="Y36" s="51">
        <v>280</v>
      </c>
      <c r="Z36" s="55">
        <v>0</v>
      </c>
      <c r="AA36" s="46">
        <v>1</v>
      </c>
      <c r="AB36" s="42"/>
      <c r="AC36" s="42"/>
      <c r="AD36" s="42"/>
      <c r="AE36" s="22"/>
    </row>
    <row r="37" spans="1:31" ht="15.75" x14ac:dyDescent="0.25">
      <c r="A37" s="15">
        <v>35</v>
      </c>
      <c r="B37" s="24" t="s">
        <v>132</v>
      </c>
      <c r="C37" s="17" t="s">
        <v>242</v>
      </c>
      <c r="D37" s="18" t="s">
        <v>1737</v>
      </c>
      <c r="E37" s="25">
        <f>COUNTIFS('жами банкоматлар 2025'!$D:$D,$C37,'жами банкоматлар 2025'!$I:$I,"Humo",'жами банкоматлар 2025'!$G:$G,"CINEO C2040")</f>
        <v>0</v>
      </c>
      <c r="F37" s="26">
        <f>COUNTIFS('жами банкоматлар 2025'!$D:$D,$C37,'жами банкоматлар 2025'!$I:$I,"Humo",'жами банкоматлар 2025'!$G:$G,"CINEO C2070")</f>
        <v>0</v>
      </c>
      <c r="G37" s="26">
        <f>COUNTIFS('жами банкоматлар 2025'!$D:$D,$C37,'жами банкоматлар 2025'!$I:$I,"Humo",'жами банкоматлар 2025'!$G:$G,"NCR 6623")</f>
        <v>0</v>
      </c>
      <c r="H37" s="26">
        <f>COUNTIFS('жами банкоматлар 2025'!$D:$D,$C37,'жами банкоматлар 2025'!$I:$I,"Humo",'жами банкоматлар 2025'!$G:$G,"NCR 6682")</f>
        <v>0</v>
      </c>
      <c r="I37" s="58">
        <f>COUNTIFS('жами банкоматлар 2025'!$D:$D,$C37,'жами банкоматлар 2025'!$I:$I,"Humo",'жами банкоматлар 2025'!$G:$G,"GRG P5800")</f>
        <v>0</v>
      </c>
      <c r="J37" s="27">
        <f t="shared" si="3"/>
        <v>0</v>
      </c>
      <c r="K37" s="25">
        <f>COUNTIFS('жами банкоматлар 2025'!$D:$D,$C37,'жами банкоматлар 2025'!$I:$I,"Way4",'жами банкоматлар 2025'!$G:$G,"NCR 6623")</f>
        <v>0</v>
      </c>
      <c r="L37" s="25">
        <f>COUNTIFS('жами банкоматлар 2025'!$D:$D,$C37,'жами банкоматлар 2025'!$I:$I,"Way4",'жами банкоматлар 2025'!$G:$G,"NCR 6682")</f>
        <v>0</v>
      </c>
      <c r="M37" s="26">
        <f>COUNTIFS('жами банкоматлар 2025'!$D:$D,$C37,'жами банкоматлар 2025'!$I:$I,"Way4",'жами банкоматлар 2025'!$G:$G,"CINEO C2070")</f>
        <v>0</v>
      </c>
      <c r="N37" s="58">
        <f>COUNTIFS('жами банкоматлар 2025'!$D:$D,$C37,'жами банкоматлар 2025'!$I:$I,"Way4",'жами банкоматлар 2025'!$G:$G,"GRG P5800")</f>
        <v>0</v>
      </c>
      <c r="O37" s="27">
        <f t="shared" si="0"/>
        <v>0</v>
      </c>
      <c r="P37" s="25">
        <f>COUNTIFS('жами банкоматлар 2025'!$D:$D,$C37,'жами банкоматлар 2025'!$I:$I,"UzCard",'жами банкоматлар 2025'!$G:$G,"NCR 6622")</f>
        <v>0</v>
      </c>
      <c r="Q37" s="26">
        <f>COUNTIFS('жами банкоматлар 2025'!$D:$D,$C37,'жами банкоматлар 2025'!$I:$I,"UzCard",'жами банкоматлар 2025'!$G:$G,"NCR 6623")</f>
        <v>0</v>
      </c>
      <c r="R37" s="26">
        <f>COUNTIFS('жами банкоматлар 2025'!$D:$D,$C37,'жами банкоматлар 2025'!$I:$I,"UzCard",'жами банкоматлар 2025'!$G:$G,"NCR 6682")</f>
        <v>0</v>
      </c>
      <c r="S37" s="26">
        <f>COUNTIFS('жами банкоматлар 2025'!$D:$D,$C37,'жами банкоматлар 2025'!$I:$I,"UzCard",'жами банкоматлар 2025'!$G:$G,"CINEO C2070")</f>
        <v>0</v>
      </c>
      <c r="T37" s="26">
        <f>COUNTIFS('жами банкоматлар 2025'!$D:$D,$C37,'жами банкоматлар 2025'!$I:$I,"UzCard",'жами банкоматлар 2025'!$G:$G,"CINEO C4560")</f>
        <v>0</v>
      </c>
      <c r="U37" s="27">
        <f t="shared" si="1"/>
        <v>0</v>
      </c>
      <c r="V37" s="46">
        <f t="shared" si="4"/>
        <v>0</v>
      </c>
      <c r="W37" s="47">
        <v>1</v>
      </c>
      <c r="X37" s="46">
        <v>337</v>
      </c>
      <c r="Y37" s="51">
        <v>442</v>
      </c>
      <c r="Z37" s="55">
        <v>1</v>
      </c>
      <c r="AA37" s="46">
        <v>1</v>
      </c>
      <c r="AB37" s="42"/>
      <c r="AC37" s="42"/>
      <c r="AD37" s="42"/>
      <c r="AE37" s="22"/>
    </row>
    <row r="38" spans="1:31" ht="15.75" x14ac:dyDescent="0.25">
      <c r="A38" s="23">
        <v>36</v>
      </c>
      <c r="B38" s="24" t="s">
        <v>133</v>
      </c>
      <c r="C38" s="17" t="s">
        <v>1726</v>
      </c>
      <c r="D38" s="18" t="s">
        <v>437</v>
      </c>
      <c r="E38" s="25">
        <f>COUNTIFS('жами банкоматлар 2025'!$D:$D,$C38,'жами банкоматлар 2025'!$I:$I,"Humo",'жами банкоматлар 2025'!$G:$G,"CINEO C2040")</f>
        <v>0</v>
      </c>
      <c r="F38" s="26">
        <f>COUNTIFS('жами банкоматлар 2025'!$D:$D,$C38,'жами банкоматлар 2025'!$I:$I,"Humo",'жами банкоматлар 2025'!$G:$G,"CINEO C2070")</f>
        <v>0</v>
      </c>
      <c r="G38" s="26">
        <f>COUNTIFS('жами банкоматлар 2025'!$D:$D,$C38,'жами банкоматлар 2025'!$I:$I,"Humo",'жами банкоматлар 2025'!$G:$G,"NCR 6623")</f>
        <v>0</v>
      </c>
      <c r="H38" s="26">
        <f>COUNTIFS('жами банкоматлар 2025'!$D:$D,$C38,'жами банкоматлар 2025'!$I:$I,"Humo",'жами банкоматлар 2025'!$G:$G,"NCR 6682")</f>
        <v>0</v>
      </c>
      <c r="I38" s="58">
        <f>COUNTIFS('жами банкоматлар 2025'!$D:$D,$C38,'жами банкоматлар 2025'!$I:$I,"Humo",'жами банкоматлар 2025'!$G:$G,"GRG P5800")</f>
        <v>0</v>
      </c>
      <c r="J38" s="27">
        <f t="shared" si="3"/>
        <v>0</v>
      </c>
      <c r="K38" s="25">
        <f>COUNTIFS('жами банкоматлар 2025'!$D:$D,$C38,'жами банкоматлар 2025'!$I:$I,"Way4",'жами банкоматлар 2025'!$G:$G,"NCR 6623")</f>
        <v>0</v>
      </c>
      <c r="L38" s="25">
        <f>COUNTIFS('жами банкоматлар 2025'!$D:$D,$C38,'жами банкоматлар 2025'!$I:$I,"Way4",'жами банкоматлар 2025'!$G:$G,"NCR 6682")</f>
        <v>0</v>
      </c>
      <c r="M38" s="26">
        <f>COUNTIFS('жами банкоматлар 2025'!$D:$D,$C38,'жами банкоматлар 2025'!$I:$I,"Way4",'жами банкоматлар 2025'!$G:$G,"CINEO C2070")</f>
        <v>0</v>
      </c>
      <c r="N38" s="58">
        <f>COUNTIFS('жами банкоматлар 2025'!$D:$D,$C38,'жами банкоматлар 2025'!$I:$I,"Way4",'жами банкоматлар 2025'!$G:$G,"GRG P5800")</f>
        <v>0</v>
      </c>
      <c r="O38" s="27">
        <f t="shared" si="0"/>
        <v>0</v>
      </c>
      <c r="P38" s="25">
        <f>COUNTIFS('жами банкоматлар 2025'!$D:$D,$C38,'жами банкоматлар 2025'!$I:$I,"UzCard",'жами банкоматлар 2025'!$G:$G,"NCR 6622")</f>
        <v>0</v>
      </c>
      <c r="Q38" s="26">
        <f>COUNTIFS('жами банкоматлар 2025'!$D:$D,$C38,'жами банкоматлар 2025'!$I:$I,"UzCard",'жами банкоматлар 2025'!$G:$G,"NCR 6623")</f>
        <v>0</v>
      </c>
      <c r="R38" s="26">
        <f>COUNTIFS('жами банкоматлар 2025'!$D:$D,$C38,'жами банкоматлар 2025'!$I:$I,"UzCard",'жами банкоматлар 2025'!$G:$G,"NCR 6682")</f>
        <v>0</v>
      </c>
      <c r="S38" s="26">
        <f>COUNTIFS('жами банкоматлар 2025'!$D:$D,$C38,'жами банкоматлар 2025'!$I:$I,"UzCard",'жами банкоматлар 2025'!$G:$G,"CINEO C2070")</f>
        <v>0</v>
      </c>
      <c r="T38" s="26">
        <f>COUNTIFS('жами банкоматлар 2025'!$D:$D,$C38,'жами банкоматлар 2025'!$I:$I,"UzCard",'жами банкоматлар 2025'!$G:$G,"CINEO C4560")</f>
        <v>0</v>
      </c>
      <c r="U38" s="27">
        <f t="shared" si="1"/>
        <v>0</v>
      </c>
      <c r="V38" s="46">
        <f t="shared" si="4"/>
        <v>0</v>
      </c>
      <c r="W38" s="47">
        <v>4</v>
      </c>
      <c r="X38" s="46">
        <v>280</v>
      </c>
      <c r="Y38" s="51">
        <v>375</v>
      </c>
      <c r="Z38" s="55">
        <v>1</v>
      </c>
      <c r="AA38" s="46">
        <v>1</v>
      </c>
      <c r="AB38" s="42"/>
      <c r="AC38" s="42"/>
      <c r="AD38" s="42"/>
      <c r="AE38" s="22"/>
    </row>
    <row r="39" spans="1:31" ht="15.75" x14ac:dyDescent="0.25">
      <c r="A39" s="23">
        <v>37</v>
      </c>
      <c r="B39" s="24" t="s">
        <v>134</v>
      </c>
      <c r="C39" s="160" t="s">
        <v>243</v>
      </c>
      <c r="D39" s="18" t="s">
        <v>438</v>
      </c>
      <c r="E39" s="25">
        <f>COUNTIFS('жами банкоматлар 2025'!$D:$D,$C39,'жами банкоматлар 2025'!$I:$I,"Humo",'жами банкоматлар 2025'!$G:$G,"CINEO C2040")</f>
        <v>0</v>
      </c>
      <c r="F39" s="26">
        <f>COUNTIFS('жами банкоматлар 2025'!$D:$D,$C39,'жами банкоматлар 2025'!$I:$I,"Humo",'жами банкоматлар 2025'!$G:$G,"CINEO C2070")</f>
        <v>0</v>
      </c>
      <c r="G39" s="26">
        <f>COUNTIFS('жами банкоматлар 2025'!$D:$D,$C39,'жами банкоматлар 2025'!$I:$I,"Humo",'жами банкоматлар 2025'!$G:$G,"NCR 6623")</f>
        <v>0</v>
      </c>
      <c r="H39" s="26">
        <f>COUNTIFS('жами банкоматлар 2025'!$D:$D,$C39,'жами банкоматлар 2025'!$I:$I,"Humo",'жами банкоматлар 2025'!$G:$G,"NCR 6682")</f>
        <v>0</v>
      </c>
      <c r="I39" s="58">
        <f>COUNTIFS('жами банкоматлар 2025'!$D:$D,$C39,'жами банкоматлар 2025'!$I:$I,"Humo",'жами банкоматлар 2025'!$G:$G,"GRG P5800")</f>
        <v>0</v>
      </c>
      <c r="J39" s="27">
        <f t="shared" si="3"/>
        <v>0</v>
      </c>
      <c r="K39" s="25">
        <f>COUNTIFS('жами банкоматлар 2025'!$D:$D,$C39,'жами банкоматлар 2025'!$I:$I,"Way4",'жами банкоматлар 2025'!$G:$G,"NCR 6623")</f>
        <v>0</v>
      </c>
      <c r="L39" s="25">
        <f>COUNTIFS('жами банкоматлар 2025'!$D:$D,$C39,'жами банкоматлар 2025'!$I:$I,"Way4",'жами банкоматлар 2025'!$G:$G,"NCR 6682")</f>
        <v>0</v>
      </c>
      <c r="M39" s="26">
        <f>COUNTIFS('жами банкоматлар 2025'!$D:$D,$C39,'жами банкоматлар 2025'!$I:$I,"Way4",'жами банкоматлар 2025'!$G:$G,"CINEO C2070")</f>
        <v>0</v>
      </c>
      <c r="N39" s="58">
        <f>COUNTIFS('жами банкоматлар 2025'!$D:$D,$C39,'жами банкоматлар 2025'!$I:$I,"Way4",'жами банкоматлар 2025'!$G:$G,"GRG P5800")</f>
        <v>0</v>
      </c>
      <c r="O39" s="27">
        <f t="shared" si="0"/>
        <v>0</v>
      </c>
      <c r="P39" s="25">
        <f>COUNTIFS('жами банкоматлар 2025'!$D:$D,$C39,'жами банкоматлар 2025'!$I:$I,"UzCard",'жами банкоматлар 2025'!$G:$G,"NCR 6622")</f>
        <v>0</v>
      </c>
      <c r="Q39" s="26">
        <f>COUNTIFS('жами банкоматлар 2025'!$D:$D,$C39,'жами банкоматлар 2025'!$I:$I,"UzCard",'жами банкоматлар 2025'!$G:$G,"NCR 6623")</f>
        <v>0</v>
      </c>
      <c r="R39" s="26">
        <f>COUNTIFS('жами банкоматлар 2025'!$D:$D,$C39,'жами банкоматлар 2025'!$I:$I,"UzCard",'жами банкоматлар 2025'!$G:$G,"NCR 6682")</f>
        <v>0</v>
      </c>
      <c r="S39" s="26">
        <f>COUNTIFS('жами банкоматлар 2025'!$D:$D,$C39,'жами банкоматлар 2025'!$I:$I,"UzCard",'жами банкоматлар 2025'!$G:$G,"CINEO C2070")</f>
        <v>0</v>
      </c>
      <c r="T39" s="26">
        <f>COUNTIFS('жами банкоматлар 2025'!$D:$D,$C39,'жами банкоматлар 2025'!$I:$I,"UzCard",'жами банкоматлар 2025'!$G:$G,"CINEO C4560")</f>
        <v>0</v>
      </c>
      <c r="U39" s="27">
        <f t="shared" si="1"/>
        <v>0</v>
      </c>
      <c r="V39" s="46">
        <f t="shared" si="4"/>
        <v>0</v>
      </c>
      <c r="W39" s="47">
        <v>2</v>
      </c>
      <c r="X39" s="46">
        <v>196</v>
      </c>
      <c r="Y39" s="51">
        <v>241</v>
      </c>
      <c r="Z39" s="55">
        <v>0</v>
      </c>
      <c r="AA39" s="46">
        <v>1</v>
      </c>
      <c r="AB39" s="42"/>
      <c r="AC39" s="42"/>
      <c r="AD39" s="42"/>
      <c r="AE39" s="22"/>
    </row>
    <row r="40" spans="1:31" ht="15.75" x14ac:dyDescent="0.25">
      <c r="A40" s="15">
        <v>38</v>
      </c>
      <c r="B40" s="24" t="s">
        <v>135</v>
      </c>
      <c r="C40" s="17" t="e">
        <f>VLOOKUP(B40,'жами банкоматлар 2025'!C:D,2,0)</f>
        <v>#N/A</v>
      </c>
      <c r="D40" s="18" t="e">
        <f>VLOOKUP(B40,'жами банкоматлар 2025'!C:F,4,0)</f>
        <v>#N/A</v>
      </c>
      <c r="E40" s="25">
        <f>COUNTIFS('жами банкоматлар 2025'!$D:$D,$C40,'жами банкоматлар 2025'!$I:$I,"Humo",'жами банкоматлар 2025'!$G:$G,"CINEO C2040")</f>
        <v>0</v>
      </c>
      <c r="F40" s="26">
        <f>COUNTIFS('жами банкоматлар 2025'!$D:$D,$C40,'жами банкоматлар 2025'!$I:$I,"Humo",'жами банкоматлар 2025'!$G:$G,"CINEO C2070")</f>
        <v>0</v>
      </c>
      <c r="G40" s="26">
        <f>COUNTIFS('жами банкоматлар 2025'!$D:$D,$C40,'жами банкоматлар 2025'!$I:$I,"Humo",'жами банкоматлар 2025'!$G:$G,"NCR 6623")</f>
        <v>0</v>
      </c>
      <c r="H40" s="26">
        <f>COUNTIFS('жами банкоматлар 2025'!$D:$D,$C40,'жами банкоматлар 2025'!$I:$I,"Humo",'жами банкоматлар 2025'!$G:$G,"NCR 6682")</f>
        <v>0</v>
      </c>
      <c r="I40" s="58">
        <f>COUNTIFS('жами банкоматлар 2025'!$D:$D,$C40,'жами банкоматлар 2025'!$I:$I,"Humo",'жами банкоматлар 2025'!$G:$G,"GRG P5800")</f>
        <v>0</v>
      </c>
      <c r="J40" s="27">
        <f t="shared" si="3"/>
        <v>0</v>
      </c>
      <c r="K40" s="25">
        <f>COUNTIFS('жами банкоматлар 2025'!$D:$D,$C40,'жами банкоматлар 2025'!$I:$I,"Way4",'жами банкоматлар 2025'!$G:$G,"NCR 6623")</f>
        <v>0</v>
      </c>
      <c r="L40" s="25">
        <f>COUNTIFS('жами банкоматлар 2025'!$D:$D,$C40,'жами банкоматлар 2025'!$I:$I,"Way4",'жами банкоматлар 2025'!$G:$G,"NCR 6682")</f>
        <v>0</v>
      </c>
      <c r="M40" s="26">
        <f>COUNTIFS('жами банкоматлар 2025'!$D:$D,$C40,'жами банкоматлар 2025'!$I:$I,"Way4",'жами банкоматлар 2025'!$G:$G,"CINEO C2070")</f>
        <v>0</v>
      </c>
      <c r="N40" s="58">
        <f>COUNTIFS('жами банкоматлар 2025'!$D:$D,$C40,'жами банкоматлар 2025'!$I:$I,"Way4",'жами банкоматлар 2025'!$G:$G,"GRG P5800")</f>
        <v>0</v>
      </c>
      <c r="O40" s="27">
        <f t="shared" si="0"/>
        <v>0</v>
      </c>
      <c r="P40" s="25">
        <f>COUNTIFS('жами банкоматлар 2025'!$D:$D,$C40,'жами банкоматлар 2025'!$I:$I,"UzCard",'жами банкоматлар 2025'!$G:$G,"NCR 6622")</f>
        <v>0</v>
      </c>
      <c r="Q40" s="26">
        <f>COUNTIFS('жами банкоматлар 2025'!$D:$D,$C40,'жами банкоматлар 2025'!$I:$I,"UzCard",'жами банкоматлар 2025'!$G:$G,"NCR 6623")</f>
        <v>0</v>
      </c>
      <c r="R40" s="26">
        <f>COUNTIFS('жами банкоматлар 2025'!$D:$D,$C40,'жами банкоматлар 2025'!$I:$I,"UzCard",'жами банкоматлар 2025'!$G:$G,"NCR 6682")</f>
        <v>0</v>
      </c>
      <c r="S40" s="26">
        <f>COUNTIFS('жами банкоматлар 2025'!$D:$D,$C40,'жами банкоматлар 2025'!$I:$I,"UzCard",'жами банкоматлар 2025'!$G:$G,"CINEO C2070")</f>
        <v>0</v>
      </c>
      <c r="T40" s="26">
        <f>COUNTIFS('жами банкоматлар 2025'!$D:$D,$C40,'жами банкоматлар 2025'!$I:$I,"UzCard",'жами банкоматлар 2025'!$G:$G,"CINEO C4560")</f>
        <v>0</v>
      </c>
      <c r="U40" s="27">
        <f t="shared" si="1"/>
        <v>0</v>
      </c>
      <c r="V40" s="46">
        <f t="shared" si="4"/>
        <v>0</v>
      </c>
      <c r="W40" s="47">
        <v>2</v>
      </c>
      <c r="X40" s="46">
        <v>931</v>
      </c>
      <c r="Y40" s="51">
        <v>896</v>
      </c>
      <c r="Z40" s="55">
        <v>0</v>
      </c>
      <c r="AA40" s="46">
        <v>1</v>
      </c>
      <c r="AB40" s="42"/>
      <c r="AC40" s="42"/>
      <c r="AD40" s="42"/>
      <c r="AE40" s="22"/>
    </row>
    <row r="41" spans="1:31" ht="15.75" x14ac:dyDescent="0.25">
      <c r="A41" s="23">
        <v>39</v>
      </c>
      <c r="B41" s="24" t="s">
        <v>136</v>
      </c>
      <c r="C41" s="160" t="s">
        <v>1727</v>
      </c>
      <c r="D41" s="18" t="s">
        <v>1738</v>
      </c>
      <c r="E41" s="25">
        <f>COUNTIFS('жами банкоматлар 2025'!$D:$D,$C41,'жами банкоматлар 2025'!$I:$I,"Humo",'жами банкоматлар 2025'!$G:$G,"CINEO C2040")</f>
        <v>0</v>
      </c>
      <c r="F41" s="26">
        <f>COUNTIFS('жами банкоматлар 2025'!$D:$D,$C41,'жами банкоматлар 2025'!$I:$I,"Humo",'жами банкоматлар 2025'!$G:$G,"CINEO C2070")</f>
        <v>0</v>
      </c>
      <c r="G41" s="26">
        <f>COUNTIFS('жами банкоматлар 2025'!$D:$D,$C41,'жами банкоматлар 2025'!$I:$I,"Humo",'жами банкоматлар 2025'!$G:$G,"NCR 6623")</f>
        <v>0</v>
      </c>
      <c r="H41" s="26">
        <f>COUNTIFS('жами банкоматлар 2025'!$D:$D,$C41,'жами банкоматлар 2025'!$I:$I,"Humo",'жами банкоматлар 2025'!$G:$G,"NCR 6682")</f>
        <v>0</v>
      </c>
      <c r="I41" s="58">
        <f>COUNTIFS('жами банкоматлар 2025'!$D:$D,$C41,'жами банкоматлар 2025'!$I:$I,"Humo",'жами банкоматлар 2025'!$G:$G,"GRG P5800")</f>
        <v>0</v>
      </c>
      <c r="J41" s="27">
        <f t="shared" si="3"/>
        <v>0</v>
      </c>
      <c r="K41" s="25">
        <f>COUNTIFS('жами банкоматлар 2025'!$D:$D,$C41,'жами банкоматлар 2025'!$I:$I,"Way4",'жами банкоматлар 2025'!$G:$G,"NCR 6623")</f>
        <v>0</v>
      </c>
      <c r="L41" s="25">
        <f>COUNTIFS('жами банкоматлар 2025'!$D:$D,$C41,'жами банкоматлар 2025'!$I:$I,"Way4",'жами банкоматлар 2025'!$G:$G,"NCR 6682")</f>
        <v>0</v>
      </c>
      <c r="M41" s="26">
        <f>COUNTIFS('жами банкоматлар 2025'!$D:$D,$C41,'жами банкоматлар 2025'!$I:$I,"Way4",'жами банкоматлар 2025'!$G:$G,"CINEO C2070")</f>
        <v>0</v>
      </c>
      <c r="N41" s="58">
        <f>COUNTIFS('жами банкоматлар 2025'!$D:$D,$C41,'жами банкоматлар 2025'!$I:$I,"Way4",'жами банкоматлар 2025'!$G:$G,"GRG P5800")</f>
        <v>0</v>
      </c>
      <c r="O41" s="27">
        <f t="shared" si="0"/>
        <v>0</v>
      </c>
      <c r="P41" s="25">
        <f>COUNTIFS('жами банкоматлар 2025'!$D:$D,$C41,'жами банкоматлар 2025'!$I:$I,"UzCard",'жами банкоматлар 2025'!$G:$G,"NCR 6622")</f>
        <v>0</v>
      </c>
      <c r="Q41" s="26">
        <f>COUNTIFS('жами банкоматлар 2025'!$D:$D,$C41,'жами банкоматлар 2025'!$I:$I,"UzCard",'жами банкоматлар 2025'!$G:$G,"NCR 6623")</f>
        <v>0</v>
      </c>
      <c r="R41" s="26">
        <f>COUNTIFS('жами банкоматлар 2025'!$D:$D,$C41,'жами банкоматлар 2025'!$I:$I,"UzCard",'жами банкоматлар 2025'!$G:$G,"NCR 6682")</f>
        <v>0</v>
      </c>
      <c r="S41" s="26">
        <f>COUNTIFS('жами банкоматлар 2025'!$D:$D,$C41,'жами банкоматлар 2025'!$I:$I,"UzCard",'жами банкоматлар 2025'!$G:$G,"CINEO C2070")</f>
        <v>0</v>
      </c>
      <c r="T41" s="26">
        <f>COUNTIFS('жами банкоматлар 2025'!$D:$D,$C41,'жами банкоматлар 2025'!$I:$I,"UzCard",'жами банкоматлар 2025'!$G:$G,"CINEO C4560")</f>
        <v>0</v>
      </c>
      <c r="U41" s="27">
        <f t="shared" si="1"/>
        <v>0</v>
      </c>
      <c r="V41" s="46">
        <f t="shared" si="4"/>
        <v>0</v>
      </c>
      <c r="W41" s="47">
        <v>1</v>
      </c>
      <c r="X41" s="46">
        <v>764</v>
      </c>
      <c r="Y41" s="51">
        <v>743</v>
      </c>
      <c r="Z41" s="55">
        <v>0</v>
      </c>
      <c r="AA41" s="46">
        <v>1</v>
      </c>
      <c r="AB41" s="42"/>
      <c r="AC41" s="42"/>
      <c r="AD41" s="42"/>
      <c r="AE41" s="22"/>
    </row>
    <row r="42" spans="1:31" ht="15.75" x14ac:dyDescent="0.25">
      <c r="A42" s="23">
        <v>40</v>
      </c>
      <c r="B42" s="24" t="s">
        <v>137</v>
      </c>
      <c r="C42" s="17" t="s">
        <v>245</v>
      </c>
      <c r="D42" s="18" t="s">
        <v>407</v>
      </c>
      <c r="E42" s="25">
        <f>COUNTIFS('жами банкоматлар 2025'!$D:$D,$C42,'жами банкоматлар 2025'!$I:$I,"Humo",'жами банкоматлар 2025'!$G:$G,"CINEO C2040")</f>
        <v>0</v>
      </c>
      <c r="F42" s="26">
        <f>COUNTIFS('жами банкоматлар 2025'!$D:$D,$C42,'жами банкоматлар 2025'!$I:$I,"Humo",'жами банкоматлар 2025'!$G:$G,"CINEO C2070")</f>
        <v>0</v>
      </c>
      <c r="G42" s="26">
        <f>COUNTIFS('жами банкоматлар 2025'!$D:$D,$C42,'жами банкоматлар 2025'!$I:$I,"Humo",'жами банкоматлар 2025'!$G:$G,"NCR 6623")</f>
        <v>0</v>
      </c>
      <c r="H42" s="26">
        <f>COUNTIFS('жами банкоматлар 2025'!$D:$D,$C42,'жами банкоматлар 2025'!$I:$I,"Humo",'жами банкоматлар 2025'!$G:$G,"NCR 6682")</f>
        <v>0</v>
      </c>
      <c r="I42" s="58">
        <f>COUNTIFS('жами банкоматлар 2025'!$D:$D,$C42,'жами банкоматлар 2025'!$I:$I,"Humo",'жами банкоматлар 2025'!$G:$G,"GRG P5800")</f>
        <v>0</v>
      </c>
      <c r="J42" s="27">
        <f t="shared" si="3"/>
        <v>0</v>
      </c>
      <c r="K42" s="25">
        <f>COUNTIFS('жами банкоматлар 2025'!$D:$D,$C42,'жами банкоматлар 2025'!$I:$I,"Way4",'жами банкоматлар 2025'!$G:$G,"NCR 6623")</f>
        <v>0</v>
      </c>
      <c r="L42" s="25">
        <f>COUNTIFS('жами банкоматлар 2025'!$D:$D,$C42,'жами банкоматлар 2025'!$I:$I,"Way4",'жами банкоматлар 2025'!$G:$G,"NCR 6682")</f>
        <v>0</v>
      </c>
      <c r="M42" s="26">
        <f>COUNTIFS('жами банкоматлар 2025'!$D:$D,$C42,'жами банкоматлар 2025'!$I:$I,"Way4",'жами банкоматлар 2025'!$G:$G,"CINEO C2070")</f>
        <v>0</v>
      </c>
      <c r="N42" s="58">
        <f>COUNTIFS('жами банкоматлар 2025'!$D:$D,$C42,'жами банкоматлар 2025'!$I:$I,"Way4",'жами банкоматлар 2025'!$G:$G,"GRG P5800")</f>
        <v>0</v>
      </c>
      <c r="O42" s="27">
        <f t="shared" si="0"/>
        <v>0</v>
      </c>
      <c r="P42" s="25">
        <f>COUNTIFS('жами банкоматлар 2025'!$D:$D,$C42,'жами банкоматлар 2025'!$I:$I,"UzCard",'жами банкоматлар 2025'!$G:$G,"NCR 6622")</f>
        <v>0</v>
      </c>
      <c r="Q42" s="26">
        <f>COUNTIFS('жами банкоматлар 2025'!$D:$D,$C42,'жами банкоматлар 2025'!$I:$I,"UzCard",'жами банкоматлар 2025'!$G:$G,"NCR 6623")</f>
        <v>0</v>
      </c>
      <c r="R42" s="26">
        <f>COUNTIFS('жами банкоматлар 2025'!$D:$D,$C42,'жами банкоматлар 2025'!$I:$I,"UzCard",'жами банкоматлар 2025'!$G:$G,"NCR 6682")</f>
        <v>0</v>
      </c>
      <c r="S42" s="26">
        <f>COUNTIFS('жами банкоматлар 2025'!$D:$D,$C42,'жами банкоматлар 2025'!$I:$I,"UzCard",'жами банкоматлар 2025'!$G:$G,"CINEO C2070")</f>
        <v>0</v>
      </c>
      <c r="T42" s="26">
        <f>COUNTIFS('жами банкоматлар 2025'!$D:$D,$C42,'жами банкоматлар 2025'!$I:$I,"UzCard",'жами банкоматлар 2025'!$G:$G,"CINEO C4560")</f>
        <v>0</v>
      </c>
      <c r="U42" s="27">
        <f t="shared" si="1"/>
        <v>0</v>
      </c>
      <c r="V42" s="46">
        <f t="shared" si="4"/>
        <v>0</v>
      </c>
      <c r="W42" s="47">
        <v>2</v>
      </c>
      <c r="X42" s="46">
        <v>264</v>
      </c>
      <c r="Y42" s="51">
        <v>342</v>
      </c>
      <c r="Z42" s="55">
        <v>1</v>
      </c>
      <c r="AA42" s="46">
        <v>1</v>
      </c>
      <c r="AB42" s="42"/>
      <c r="AC42" s="42"/>
      <c r="AD42" s="42"/>
      <c r="AE42" s="22"/>
    </row>
    <row r="43" spans="1:31" ht="15.75" x14ac:dyDescent="0.25">
      <c r="A43" s="15">
        <v>41</v>
      </c>
      <c r="B43" s="24" t="s">
        <v>157</v>
      </c>
      <c r="C43" s="160" t="s">
        <v>1728</v>
      </c>
      <c r="D43" s="18" t="s">
        <v>1739</v>
      </c>
      <c r="E43" s="25">
        <f>COUNTIFS('жами банкоматлар 2025'!$D:$D,$C43,'жами банкоматлар 2025'!$I:$I,"Humo",'жами банкоматлар 2025'!$G:$G,"CINEO C2040")</f>
        <v>0</v>
      </c>
      <c r="F43" s="26">
        <f>COUNTIFS('жами банкоматлар 2025'!$D:$D,$C43,'жами банкоматлар 2025'!$I:$I,"Humo",'жами банкоматлар 2025'!$G:$G,"CINEO C2070")</f>
        <v>0</v>
      </c>
      <c r="G43" s="26">
        <f>COUNTIFS('жами банкоматлар 2025'!$D:$D,$C43,'жами банкоматлар 2025'!$I:$I,"Humo",'жами банкоматлар 2025'!$G:$G,"NCR 6623")</f>
        <v>0</v>
      </c>
      <c r="H43" s="26">
        <f>COUNTIFS('жами банкоматлар 2025'!$D:$D,$C43,'жами банкоматлар 2025'!$I:$I,"Humo",'жами банкоматлар 2025'!$G:$G,"NCR 6682")</f>
        <v>0</v>
      </c>
      <c r="I43" s="58">
        <f>COUNTIFS('жами банкоматлар 2025'!$D:$D,$C43,'жами банкоматлар 2025'!$I:$I,"Humo",'жами банкоматлар 2025'!$G:$G,"GRG P5800")</f>
        <v>0</v>
      </c>
      <c r="J43" s="27">
        <f t="shared" si="3"/>
        <v>0</v>
      </c>
      <c r="K43" s="25">
        <f>COUNTIFS('жами банкоматлар 2025'!$D:$D,$C43,'жами банкоматлар 2025'!$I:$I,"Way4",'жами банкоматлар 2025'!$G:$G,"NCR 6623")</f>
        <v>0</v>
      </c>
      <c r="L43" s="25">
        <f>COUNTIFS('жами банкоматлар 2025'!$D:$D,$C43,'жами банкоматлар 2025'!$I:$I,"Way4",'жами банкоматлар 2025'!$G:$G,"NCR 6682")</f>
        <v>0</v>
      </c>
      <c r="M43" s="26">
        <f>COUNTIFS('жами банкоматлар 2025'!$D:$D,$C43,'жами банкоматлар 2025'!$I:$I,"Way4",'жами банкоматлар 2025'!$G:$G,"CINEO C2070")</f>
        <v>0</v>
      </c>
      <c r="N43" s="58">
        <f>COUNTIFS('жами банкоматлар 2025'!$D:$D,$C43,'жами банкоматлар 2025'!$I:$I,"Way4",'жами банкоматлар 2025'!$G:$G,"GRG P5800")</f>
        <v>0</v>
      </c>
      <c r="O43" s="27">
        <f t="shared" si="0"/>
        <v>0</v>
      </c>
      <c r="P43" s="25">
        <f>COUNTIFS('жами банкоматлар 2025'!$D:$D,$C43,'жами банкоматлар 2025'!$I:$I,"UzCard",'жами банкоматлар 2025'!$G:$G,"NCR 6622")</f>
        <v>0</v>
      </c>
      <c r="Q43" s="26">
        <f>COUNTIFS('жами банкоматлар 2025'!$D:$D,$C43,'жами банкоматлар 2025'!$I:$I,"UzCard",'жами банкоматлар 2025'!$G:$G,"NCR 6623")</f>
        <v>0</v>
      </c>
      <c r="R43" s="26">
        <f>COUNTIFS('жами банкоматлар 2025'!$D:$D,$C43,'жами банкоматлар 2025'!$I:$I,"UzCard",'жами банкоматлар 2025'!$G:$G,"NCR 6682")</f>
        <v>0</v>
      </c>
      <c r="S43" s="26">
        <f>COUNTIFS('жами банкоматлар 2025'!$D:$D,$C43,'жами банкоматлар 2025'!$I:$I,"UzCard",'жами банкоматлар 2025'!$G:$G,"CINEO C2070")</f>
        <v>0</v>
      </c>
      <c r="T43" s="26">
        <f>COUNTIFS('жами банкоматлар 2025'!$D:$D,$C43,'жами банкоматлар 2025'!$I:$I,"UzCard",'жами банкоматлар 2025'!$G:$G,"CINEO C4560")</f>
        <v>0</v>
      </c>
      <c r="U43" s="27">
        <f t="shared" si="1"/>
        <v>0</v>
      </c>
      <c r="V43" s="46">
        <f t="shared" si="4"/>
        <v>0</v>
      </c>
      <c r="W43" s="47">
        <v>1</v>
      </c>
      <c r="X43" s="46">
        <v>201</v>
      </c>
      <c r="Y43" s="51">
        <v>209</v>
      </c>
      <c r="Z43" s="55">
        <v>0</v>
      </c>
      <c r="AA43" s="46">
        <v>1</v>
      </c>
      <c r="AB43" s="42"/>
      <c r="AC43" s="42"/>
      <c r="AD43" s="42"/>
      <c r="AE43" s="22"/>
    </row>
    <row r="44" spans="1:31" ht="15.75" x14ac:dyDescent="0.25">
      <c r="A44" s="23">
        <v>42</v>
      </c>
      <c r="B44" s="24" t="s">
        <v>158</v>
      </c>
      <c r="C44" s="160" t="s">
        <v>1729</v>
      </c>
      <c r="D44" s="18" t="s">
        <v>1740</v>
      </c>
      <c r="E44" s="25">
        <f>COUNTIFS('жами банкоматлар 2025'!$D:$D,$C44,'жами банкоматлар 2025'!$I:$I,"Humo",'жами банкоматлар 2025'!$G:$G,"CINEO C2040")</f>
        <v>0</v>
      </c>
      <c r="F44" s="26">
        <f>COUNTIFS('жами банкоматлар 2025'!$D:$D,$C44,'жами банкоматлар 2025'!$I:$I,"Humo",'жами банкоматлар 2025'!$G:$G,"CINEO C2070")</f>
        <v>0</v>
      </c>
      <c r="G44" s="26">
        <f>COUNTIFS('жами банкоматлар 2025'!$D:$D,$C44,'жами банкоматлар 2025'!$I:$I,"Humo",'жами банкоматлар 2025'!$G:$G,"NCR 6623")</f>
        <v>0</v>
      </c>
      <c r="H44" s="26">
        <f>COUNTIFS('жами банкоматлар 2025'!$D:$D,$C44,'жами банкоматлар 2025'!$I:$I,"Humo",'жами банкоматлар 2025'!$G:$G,"NCR 6682")</f>
        <v>0</v>
      </c>
      <c r="I44" s="58">
        <f>COUNTIFS('жами банкоматлар 2025'!$D:$D,$C44,'жами банкоматлар 2025'!$I:$I,"Humo",'жами банкоматлар 2025'!$G:$G,"GRG P5800")</f>
        <v>0</v>
      </c>
      <c r="J44" s="27">
        <f t="shared" si="3"/>
        <v>0</v>
      </c>
      <c r="K44" s="25">
        <f>COUNTIFS('жами банкоматлар 2025'!$D:$D,$C44,'жами банкоматлар 2025'!$I:$I,"Way4",'жами банкоматлар 2025'!$G:$G,"NCR 6623")</f>
        <v>0</v>
      </c>
      <c r="L44" s="25">
        <f>COUNTIFS('жами банкоматлар 2025'!$D:$D,$C44,'жами банкоматлар 2025'!$I:$I,"Way4",'жами банкоматлар 2025'!$G:$G,"NCR 6682")</f>
        <v>0</v>
      </c>
      <c r="M44" s="26">
        <f>COUNTIFS('жами банкоматлар 2025'!$D:$D,$C44,'жами банкоматлар 2025'!$I:$I,"Way4",'жами банкоматлар 2025'!$G:$G,"CINEO C2070")</f>
        <v>0</v>
      </c>
      <c r="N44" s="58">
        <f>COUNTIFS('жами банкоматлар 2025'!$D:$D,$C44,'жами банкоматлар 2025'!$I:$I,"Way4",'жами банкоматлар 2025'!$G:$G,"GRG P5800")</f>
        <v>0</v>
      </c>
      <c r="O44" s="27">
        <f t="shared" si="0"/>
        <v>0</v>
      </c>
      <c r="P44" s="25">
        <f>COUNTIFS('жами банкоматлар 2025'!$D:$D,$C44,'жами банкоматлар 2025'!$I:$I,"UzCard",'жами банкоматлар 2025'!$G:$G,"NCR 6622")</f>
        <v>0</v>
      </c>
      <c r="Q44" s="26">
        <f>COUNTIFS('жами банкоматлар 2025'!$D:$D,$C44,'жами банкоматлар 2025'!$I:$I,"UzCard",'жами банкоматлар 2025'!$G:$G,"NCR 6623")</f>
        <v>0</v>
      </c>
      <c r="R44" s="26">
        <f>COUNTIFS('жами банкоматлар 2025'!$D:$D,$C44,'жами банкоматлар 2025'!$I:$I,"UzCard",'жами банкоматлар 2025'!$G:$G,"NCR 6682")</f>
        <v>0</v>
      </c>
      <c r="S44" s="26">
        <f>COUNTIFS('жами банкоматлар 2025'!$D:$D,$C44,'жами банкоматлар 2025'!$I:$I,"UzCard",'жами банкоматлар 2025'!$G:$G,"CINEO C2070")</f>
        <v>0</v>
      </c>
      <c r="T44" s="26">
        <f>COUNTIFS('жами банкоматлар 2025'!$D:$D,$C44,'жами банкоматлар 2025'!$I:$I,"UzCard",'жами банкоматлар 2025'!$G:$G,"CINEO C4560")</f>
        <v>0</v>
      </c>
      <c r="U44" s="27">
        <f t="shared" si="1"/>
        <v>0</v>
      </c>
      <c r="V44" s="46">
        <f t="shared" si="4"/>
        <v>0</v>
      </c>
      <c r="W44" s="47">
        <v>2</v>
      </c>
      <c r="X44" s="46">
        <v>293</v>
      </c>
      <c r="Y44" s="51">
        <v>386</v>
      </c>
      <c r="Z44" s="55">
        <v>0</v>
      </c>
      <c r="AA44" s="46">
        <v>1</v>
      </c>
      <c r="AB44" s="42"/>
      <c r="AC44" s="42"/>
      <c r="AD44" s="42"/>
      <c r="AE44" s="22"/>
    </row>
    <row r="45" spans="1:31" ht="15.75" x14ac:dyDescent="0.25">
      <c r="A45" s="23">
        <v>43</v>
      </c>
      <c r="B45" s="24" t="s">
        <v>159</v>
      </c>
      <c r="C45" s="160" t="s">
        <v>1730</v>
      </c>
      <c r="D45" s="18" t="s">
        <v>1741</v>
      </c>
      <c r="E45" s="25">
        <f>COUNTIFS('жами банкоматлар 2025'!$D:$D,$C45,'жами банкоматлар 2025'!$I:$I,"Humo",'жами банкоматлар 2025'!$G:$G,"CINEO C2040")</f>
        <v>0</v>
      </c>
      <c r="F45" s="26">
        <f>COUNTIFS('жами банкоматлар 2025'!$D:$D,$C45,'жами банкоматлар 2025'!$I:$I,"Humo",'жами банкоматлар 2025'!$G:$G,"CINEO C2070")</f>
        <v>0</v>
      </c>
      <c r="G45" s="26">
        <f>COUNTIFS('жами банкоматлар 2025'!$D:$D,$C45,'жами банкоматлар 2025'!$I:$I,"Humo",'жами банкоматлар 2025'!$G:$G,"NCR 6623")</f>
        <v>0</v>
      </c>
      <c r="H45" s="26">
        <f>COUNTIFS('жами банкоматлар 2025'!$D:$D,$C45,'жами банкоматлар 2025'!$I:$I,"Humo",'жами банкоматлар 2025'!$G:$G,"NCR 6682")</f>
        <v>0</v>
      </c>
      <c r="I45" s="58">
        <f>COUNTIFS('жами банкоматлар 2025'!$D:$D,$C45,'жами банкоматлар 2025'!$I:$I,"Humo",'жами банкоматлар 2025'!$G:$G,"GRG P5800")</f>
        <v>0</v>
      </c>
      <c r="J45" s="27">
        <f t="shared" si="3"/>
        <v>0</v>
      </c>
      <c r="K45" s="25">
        <f>COUNTIFS('жами банкоматлар 2025'!$D:$D,$C45,'жами банкоматлар 2025'!$I:$I,"Way4",'жами банкоматлар 2025'!$G:$G,"NCR 6623")</f>
        <v>0</v>
      </c>
      <c r="L45" s="25">
        <f>COUNTIFS('жами банкоматлар 2025'!$D:$D,$C45,'жами банкоматлар 2025'!$I:$I,"Way4",'жами банкоматлар 2025'!$G:$G,"NCR 6682")</f>
        <v>0</v>
      </c>
      <c r="M45" s="26">
        <f>COUNTIFS('жами банкоматлар 2025'!$D:$D,$C45,'жами банкоматлар 2025'!$I:$I,"Way4",'жами банкоматлар 2025'!$G:$G,"CINEO C2070")</f>
        <v>0</v>
      </c>
      <c r="N45" s="58">
        <f>COUNTIFS('жами банкоматлар 2025'!$D:$D,$C45,'жами банкоматлар 2025'!$I:$I,"Way4",'жами банкоматлар 2025'!$G:$G,"GRG P5800")</f>
        <v>0</v>
      </c>
      <c r="O45" s="27">
        <f t="shared" si="0"/>
        <v>0</v>
      </c>
      <c r="P45" s="25">
        <f>COUNTIFS('жами банкоматлар 2025'!$D:$D,$C45,'жами банкоматлар 2025'!$I:$I,"UzCard",'жами банкоматлар 2025'!$G:$G,"NCR 6622")</f>
        <v>0</v>
      </c>
      <c r="Q45" s="26">
        <f>COUNTIFS('жами банкоматлар 2025'!$D:$D,$C45,'жами банкоматлар 2025'!$I:$I,"UzCard",'жами банкоматлар 2025'!$G:$G,"NCR 6623")</f>
        <v>0</v>
      </c>
      <c r="R45" s="26">
        <f>COUNTIFS('жами банкоматлар 2025'!$D:$D,$C45,'жами банкоматлар 2025'!$I:$I,"UzCard",'жами банкоматлар 2025'!$G:$G,"NCR 6682")</f>
        <v>0</v>
      </c>
      <c r="S45" s="26">
        <f>COUNTIFS('жами банкоматлар 2025'!$D:$D,$C45,'жами банкоматлар 2025'!$I:$I,"UzCard",'жами банкоматлар 2025'!$G:$G,"CINEO C2070")</f>
        <v>0</v>
      </c>
      <c r="T45" s="26">
        <f>COUNTIFS('жами банкоматлар 2025'!$D:$D,$C45,'жами банкоматлар 2025'!$I:$I,"UzCard",'жами банкоматлар 2025'!$G:$G,"CINEO C4560")</f>
        <v>0</v>
      </c>
      <c r="U45" s="27">
        <f t="shared" si="1"/>
        <v>0</v>
      </c>
      <c r="V45" s="46">
        <f t="shared" si="4"/>
        <v>0</v>
      </c>
      <c r="W45" s="47">
        <v>2</v>
      </c>
      <c r="X45" s="46">
        <v>578</v>
      </c>
      <c r="Y45" s="51">
        <v>544</v>
      </c>
      <c r="Z45" s="55">
        <v>0</v>
      </c>
      <c r="AA45" s="46">
        <v>1</v>
      </c>
      <c r="AB45" s="42"/>
      <c r="AC45" s="42"/>
      <c r="AD45" s="42"/>
      <c r="AE45" s="22"/>
    </row>
    <row r="46" spans="1:31" ht="15.75" x14ac:dyDescent="0.25">
      <c r="A46" s="15">
        <v>44</v>
      </c>
      <c r="B46" s="24" t="s">
        <v>160</v>
      </c>
      <c r="C46" s="17" t="e">
        <f>VLOOKUP(B46,'жами банкоматлар 2025'!C:D,2,0)</f>
        <v>#N/A</v>
      </c>
      <c r="D46" s="18" t="e">
        <f>VLOOKUP(B46,'жами банкоматлар 2025'!C:F,4,0)</f>
        <v>#N/A</v>
      </c>
      <c r="E46" s="25">
        <f>COUNTIFS('жами банкоматлар 2025'!$D:$D,$C46,'жами банкоматлар 2025'!$I:$I,"Humo",'жами банкоматлар 2025'!$G:$G,"CINEO C2040")</f>
        <v>0</v>
      </c>
      <c r="F46" s="26">
        <f>COUNTIFS('жами банкоматлар 2025'!$D:$D,$C46,'жами банкоматлар 2025'!$I:$I,"Humo",'жами банкоматлар 2025'!$G:$G,"CINEO C2070")</f>
        <v>0</v>
      </c>
      <c r="G46" s="26">
        <f>COUNTIFS('жами банкоматлар 2025'!$D:$D,$C46,'жами банкоматлар 2025'!$I:$I,"Humo",'жами банкоматлар 2025'!$G:$G,"NCR 6623")</f>
        <v>0</v>
      </c>
      <c r="H46" s="26">
        <f>COUNTIFS('жами банкоматлар 2025'!$D:$D,$C46,'жами банкоматлар 2025'!$I:$I,"Humo",'жами банкоматлар 2025'!$G:$G,"NCR 6682")</f>
        <v>0</v>
      </c>
      <c r="I46" s="26">
        <f>COUNTIFS('жами банкоматлар 2025'!$D:$D,$C46,'жами банкоматлар 2025'!$I:$I,"Humo",'жами банкоматлар 2025'!$G:$G,"GRG P5800")</f>
        <v>0</v>
      </c>
      <c r="J46" s="27">
        <f t="shared" si="3"/>
        <v>0</v>
      </c>
      <c r="K46" s="25">
        <f>COUNTIFS('жами банкоматлар 2025'!$D:$D,$C46,'жами банкоматлар 2025'!$I:$I,"Way4",'жами банкоматлар 2025'!$G:$G,"NCR 6623")</f>
        <v>0</v>
      </c>
      <c r="L46" s="25">
        <f>COUNTIFS('жами банкоматлар 2025'!$D:$D,$C46,'жами банкоматлар 2025'!$I:$I,"Way4",'жами банкоматлар 2025'!$G:$G,"NCR 6682")</f>
        <v>0</v>
      </c>
      <c r="M46" s="26">
        <f>COUNTIFS('жами банкоматлар 2025'!$D:$D,$C46,'жами банкоматлар 2025'!$I:$I,"Way4",'жами банкоматлар 2025'!$G:$G,"CINEO C2070")</f>
        <v>0</v>
      </c>
      <c r="N46" s="26">
        <f>COUNTIFS('жами банкоматлар 2025'!$D:$D,$C46,'жами банкоматлар 2025'!$I:$I,"Way4",'жами банкоматлар 2025'!$G:$G,"GRG P5800")</f>
        <v>0</v>
      </c>
      <c r="O46" s="27">
        <f>+K46+L46+M46+N46</f>
        <v>0</v>
      </c>
      <c r="P46" s="25">
        <f>COUNTIFS('жами банкоматлар 2025'!$D:$D,$C46,'жами банкоматлар 2025'!$I:$I,"UzCard",'жами банкоматлар 2025'!$G:$G,"NCR 6622")</f>
        <v>0</v>
      </c>
      <c r="Q46" s="26">
        <f>COUNTIFS('жами банкоматлар 2025'!$D:$D,$C46,'жами банкоматлар 2025'!$I:$I,"UzCard",'жами банкоматлар 2025'!$G:$G,"NCR 6623")</f>
        <v>0</v>
      </c>
      <c r="R46" s="26">
        <f>COUNTIFS('жами банкоматлар 2025'!$D:$D,$C46,'жами банкоматлар 2025'!$I:$I,"UzCard",'жами банкоматлар 2025'!$G:$G,"NCR 6682")</f>
        <v>0</v>
      </c>
      <c r="S46" s="26">
        <f>COUNTIFS('жами банкоматлар 2025'!$D:$D,$C46,'жами банкоматлар 2025'!$I:$I,"UzCard",'жами банкоматлар 2025'!$G:$G,"CINEO C2070")</f>
        <v>0</v>
      </c>
      <c r="T46" s="26">
        <f>COUNTIFS('жами банкоматлар 2025'!$D:$D,$C46,'жами банкоматлар 2025'!$I:$I,"UzCard",'жами банкоматлар 2025'!$G:$G,"CINEO C4560")</f>
        <v>0</v>
      </c>
      <c r="U46" s="27">
        <f t="shared" si="1"/>
        <v>0</v>
      </c>
      <c r="V46" s="46">
        <f t="shared" si="4"/>
        <v>0</v>
      </c>
      <c r="W46" s="47">
        <v>2</v>
      </c>
      <c r="X46" s="46">
        <v>292</v>
      </c>
      <c r="Y46" s="51">
        <v>356</v>
      </c>
      <c r="Z46" s="55">
        <v>1</v>
      </c>
      <c r="AA46" s="46">
        <v>1</v>
      </c>
      <c r="AB46" s="42"/>
      <c r="AC46" s="42"/>
      <c r="AD46" s="42"/>
      <c r="AE46" s="22"/>
    </row>
    <row r="47" spans="1:31" ht="15.75" x14ac:dyDescent="0.25">
      <c r="A47" s="23">
        <v>45</v>
      </c>
      <c r="B47" s="24" t="s">
        <v>161</v>
      </c>
      <c r="C47" s="160" t="s">
        <v>1731</v>
      </c>
      <c r="D47" s="18" t="s">
        <v>442</v>
      </c>
      <c r="E47" s="25">
        <f>COUNTIFS('жами банкоматлар 2025'!$D:$D,$C47,'жами банкоматлар 2025'!$I:$I,"Humo",'жами банкоматлар 2025'!$G:$G,"CINEO C2040")</f>
        <v>0</v>
      </c>
      <c r="F47" s="26">
        <f>COUNTIFS('жами банкоматлар 2025'!$D:$D,$C47,'жами банкоматлар 2025'!$I:$I,"Humo",'жами банкоматлар 2025'!$G:$G,"CINEO C2070")</f>
        <v>0</v>
      </c>
      <c r="G47" s="26">
        <f>COUNTIFS('жами банкоматлар 2025'!$D:$D,$C47,'жами банкоматлар 2025'!$I:$I,"Humo",'жами банкоматлар 2025'!$G:$G,"NCR 6623")</f>
        <v>0</v>
      </c>
      <c r="H47" s="26">
        <f>COUNTIFS('жами банкоматлар 2025'!$D:$D,$C47,'жами банкоматлар 2025'!$I:$I,"Humo",'жами банкоматлар 2025'!$G:$G,"NCR 6682")</f>
        <v>0</v>
      </c>
      <c r="I47" s="58">
        <f>COUNTIFS('жами банкоматлар 2025'!$D:$D,$C47,'жами банкоматлар 2025'!$I:$I,"Humo",'жами банкоматлар 2025'!$G:$G,"GRG P5800")</f>
        <v>0</v>
      </c>
      <c r="J47" s="27">
        <f t="shared" si="3"/>
        <v>0</v>
      </c>
      <c r="K47" s="25">
        <f>COUNTIFS('жами банкоматлар 2025'!$D:$D,$C47,'жами банкоматлар 2025'!$I:$I,"Way4",'жами банкоматлар 2025'!$G:$G,"NCR 6623")</f>
        <v>0</v>
      </c>
      <c r="L47" s="25">
        <f>COUNTIFS('жами банкоматлар 2025'!$D:$D,$C47,'жами банкоматлар 2025'!$I:$I,"Way4",'жами банкоматлар 2025'!$G:$G,"NCR 6682")</f>
        <v>0</v>
      </c>
      <c r="M47" s="26">
        <f>COUNTIFS('жами банкоматлар 2025'!$D:$D,$C47,'жами банкоматлар 2025'!$I:$I,"Way4",'жами банкоматлар 2025'!$G:$G,"CINEO C2070")</f>
        <v>0</v>
      </c>
      <c r="N47" s="58">
        <f>COUNTIFS('жами банкоматлар 2025'!$D:$D,$C47,'жами банкоматлар 2025'!$I:$I,"Way4",'жами банкоматлар 2025'!$G:$G,"GRG P5800")</f>
        <v>0</v>
      </c>
      <c r="O47" s="27">
        <f>+K47+L47+M47+N47</f>
        <v>0</v>
      </c>
      <c r="P47" s="25">
        <f>COUNTIFS('жами банкоматлар 2025'!$D:$D,$C47,'жами банкоматлар 2025'!$I:$I,"UzCard",'жами банкоматлар 2025'!$G:$G,"NCR 6622")</f>
        <v>0</v>
      </c>
      <c r="Q47" s="26">
        <f>COUNTIFS('жами банкоматлар 2025'!$D:$D,$C47,'жами банкоматлар 2025'!$I:$I,"UzCard",'жами банкоматлар 2025'!$G:$G,"NCR 6623")</f>
        <v>0</v>
      </c>
      <c r="R47" s="26">
        <f>COUNTIFS('жами банкоматлар 2025'!$D:$D,$C47,'жами банкоматлар 2025'!$I:$I,"UzCard",'жами банкоматлар 2025'!$G:$G,"NCR 6682")</f>
        <v>0</v>
      </c>
      <c r="S47" s="26">
        <f>COUNTIFS('жами банкоматлар 2025'!$D:$D,$C47,'жами банкоматлар 2025'!$I:$I,"UzCard",'жами банкоматлар 2025'!$G:$G,"CINEO C2070")</f>
        <v>0</v>
      </c>
      <c r="T47" s="26">
        <f>COUNTIFS('жами банкоматлар 2025'!$D:$D,$C47,'жами банкоматлар 2025'!$I:$I,"UzCard",'жами банкоматлар 2025'!$G:$G,"CINEO C4560")</f>
        <v>0</v>
      </c>
      <c r="U47" s="27">
        <f t="shared" si="1"/>
        <v>0</v>
      </c>
      <c r="V47" s="46">
        <f t="shared" si="4"/>
        <v>0</v>
      </c>
      <c r="W47" s="47">
        <v>3</v>
      </c>
      <c r="X47" s="46">
        <v>285</v>
      </c>
      <c r="Y47" s="51">
        <v>335</v>
      </c>
      <c r="Z47" s="55">
        <v>1</v>
      </c>
      <c r="AA47" s="46">
        <v>1</v>
      </c>
      <c r="AB47" s="42"/>
      <c r="AC47" s="42"/>
      <c r="AD47" s="42"/>
      <c r="AE47" s="22"/>
    </row>
    <row r="48" spans="1:31" ht="15.75" x14ac:dyDescent="0.25">
      <c r="A48" s="23">
        <v>46</v>
      </c>
      <c r="B48" s="24" t="s">
        <v>162</v>
      </c>
      <c r="C48" s="160" t="s">
        <v>1732</v>
      </c>
      <c r="D48" s="18" t="s">
        <v>1742</v>
      </c>
      <c r="E48" s="25">
        <f>COUNTIFS('жами банкоматлар 2025'!$D:$D,$C48,'жами банкоматлар 2025'!$I:$I,"Humo",'жами банкоматлар 2025'!$G:$G,"CINEO C2040")</f>
        <v>0</v>
      </c>
      <c r="F48" s="26">
        <f>COUNTIFS('жами банкоматлар 2025'!$D:$D,$C48,'жами банкоматлар 2025'!$I:$I,"Humo",'жами банкоматлар 2025'!$G:$G,"CINEO C2070")</f>
        <v>0</v>
      </c>
      <c r="G48" s="26">
        <f>COUNTIFS('жами банкоматлар 2025'!$D:$D,$C48,'жами банкоматлар 2025'!$I:$I,"Humo",'жами банкоматлар 2025'!$G:$G,"NCR 6623")</f>
        <v>0</v>
      </c>
      <c r="H48" s="26">
        <f>COUNTIFS('жами банкоматлар 2025'!$D:$D,$C48,'жами банкоматлар 2025'!$I:$I,"Humo",'жами банкоматлар 2025'!$G:$G,"NCR 6682")</f>
        <v>0</v>
      </c>
      <c r="I48" s="58">
        <f>COUNTIFS('жами банкоматлар 2025'!$D:$D,$C48,'жами банкоматлар 2025'!$I:$I,"Humo",'жами банкоматлар 2025'!$G:$G,"GRG P5800")</f>
        <v>0</v>
      </c>
      <c r="J48" s="27">
        <f t="shared" si="3"/>
        <v>0</v>
      </c>
      <c r="K48" s="25">
        <f>COUNTIFS('жами банкоматлар 2025'!$D:$D,$C48,'жами банкоматлар 2025'!$I:$I,"Way4",'жами банкоматлар 2025'!$G:$G,"NCR 6623")</f>
        <v>0</v>
      </c>
      <c r="L48" s="25">
        <f>COUNTIFS('жами банкоматлар 2025'!$D:$D,$C48,'жами банкоматлар 2025'!$I:$I,"Way4",'жами банкоматлар 2025'!$G:$G,"NCR 6682")</f>
        <v>0</v>
      </c>
      <c r="M48" s="26">
        <f>COUNTIFS('жами банкоматлар 2025'!$D:$D,$C48,'жами банкоматлар 2025'!$I:$I,"Way4",'жами банкоматлар 2025'!$G:$G,"CINEO C2070")</f>
        <v>0</v>
      </c>
      <c r="N48" s="58">
        <f>COUNTIFS('жами банкоматлар 2025'!$D:$D,$C48,'жами банкоматлар 2025'!$I:$I,"Way4",'жами банкоматлар 2025'!$G:$G,"GRG P5800")</f>
        <v>0</v>
      </c>
      <c r="O48" s="27">
        <f>+K48+L48+M48+N48</f>
        <v>0</v>
      </c>
      <c r="P48" s="25">
        <f>COUNTIFS('жами банкоматлар 2025'!$D:$D,$C48,'жами банкоматлар 2025'!$I:$I,"UzCard",'жами банкоматлар 2025'!$G:$G,"NCR 6622")</f>
        <v>0</v>
      </c>
      <c r="Q48" s="26">
        <f>COUNTIFS('жами банкоматлар 2025'!$D:$D,$C48,'жами банкоматлар 2025'!$I:$I,"UzCard",'жами банкоматлар 2025'!$G:$G,"NCR 6623")</f>
        <v>0</v>
      </c>
      <c r="R48" s="26">
        <f>COUNTIFS('жами банкоматлар 2025'!$D:$D,$C48,'жами банкоматлар 2025'!$I:$I,"UzCard",'жами банкоматлар 2025'!$G:$G,"NCR 6682")</f>
        <v>0</v>
      </c>
      <c r="S48" s="26">
        <f>COUNTIFS('жами банкоматлар 2025'!$D:$D,$C48,'жами банкоматлар 2025'!$I:$I,"UzCard",'жами банкоматлар 2025'!$G:$G,"CINEO C2070")</f>
        <v>0</v>
      </c>
      <c r="T48" s="26">
        <f>COUNTIFS('жами банкоматлар 2025'!$D:$D,$C48,'жами банкоматлар 2025'!$I:$I,"UzCard",'жами банкоматлар 2025'!$G:$G,"CINEO C4560")</f>
        <v>0</v>
      </c>
      <c r="U48" s="27">
        <f t="shared" si="1"/>
        <v>0</v>
      </c>
      <c r="V48" s="46">
        <f t="shared" si="4"/>
        <v>0</v>
      </c>
      <c r="W48" s="47">
        <v>1</v>
      </c>
      <c r="X48" s="46">
        <v>199</v>
      </c>
      <c r="Y48" s="51">
        <v>317</v>
      </c>
      <c r="Z48" s="55">
        <v>0</v>
      </c>
      <c r="AA48" s="46">
        <v>1</v>
      </c>
      <c r="AB48" s="42"/>
      <c r="AC48" s="42"/>
      <c r="AD48" s="42"/>
      <c r="AE48" s="22"/>
    </row>
    <row r="49" spans="1:31" ht="15.75" x14ac:dyDescent="0.25">
      <c r="A49" s="15">
        <v>47</v>
      </c>
      <c r="B49" s="24" t="s">
        <v>163</v>
      </c>
      <c r="C49" s="161" t="s">
        <v>1733</v>
      </c>
      <c r="D49" s="18" t="s">
        <v>1743</v>
      </c>
      <c r="E49" s="25">
        <f>COUNTIFS('жами банкоматлар 2025'!$D:$D,$C49,'жами банкоматлар 2025'!$I:$I,"Humo",'жами банкоматлар 2025'!$G:$G,"CINEO C2040")</f>
        <v>0</v>
      </c>
      <c r="F49" s="26">
        <f>COUNTIFS('жами банкоматлар 2025'!$D:$D,$C49,'жами банкоматлар 2025'!$I:$I,"Humo",'жами банкоматлар 2025'!$G:$G,"CINEO C2070")</f>
        <v>0</v>
      </c>
      <c r="G49" s="28">
        <f>COUNTIFS('жами банкоматлар 2025'!$D:$D,$C49,'жами банкоматлар 2025'!$I:$I,"Humo",'жами банкоматлар 2025'!$G:$G,"NCR 6623")</f>
        <v>0</v>
      </c>
      <c r="H49" s="26">
        <f>COUNTIFS('жами банкоматлар 2025'!$D:$D,$C49,'жами банкоматлар 2025'!$I:$I,"Humo",'жами банкоматлар 2025'!$G:$G,"NCR 6682")</f>
        <v>0</v>
      </c>
      <c r="I49" s="58">
        <f>COUNTIFS('жами банкоматлар 2025'!$D:$D,$C49,'жами банкоматлар 2025'!$I:$I,"Humo",'жами банкоматлар 2025'!$G:$G,"GRG P5800")</f>
        <v>0</v>
      </c>
      <c r="J49" s="27">
        <f t="shared" si="3"/>
        <v>0</v>
      </c>
      <c r="K49" s="25">
        <f>COUNTIFS('жами банкоматлар 2025'!$D:$D,$C49,'жами банкоматлар 2025'!$I:$I,"Way4",'жами банкоматлар 2025'!$G:$G,"NCR 6623")</f>
        <v>0</v>
      </c>
      <c r="L49" s="25">
        <f>COUNTIFS('жами банкоматлар 2025'!$D:$D,$C49,'жами банкоматлар 2025'!$I:$I,"Way4",'жами банкоматлар 2025'!$G:$G,"NCR 6682")</f>
        <v>0</v>
      </c>
      <c r="M49" s="26">
        <f>COUNTIFS('жами банкоматлар 2025'!$D:$D,$C49,'жами банкоматлар 2025'!$I:$I,"Way4",'жами банкоматлар 2025'!$G:$G,"CINEO C2070")</f>
        <v>0</v>
      </c>
      <c r="N49" s="58">
        <f>COUNTIFS('жами банкоматлар 2025'!$D:$D,$C49,'жами банкоматлар 2025'!$I:$I,"Way4",'жами банкоматлар 2025'!$G:$G,"GRG P5800")</f>
        <v>0</v>
      </c>
      <c r="O49" s="27">
        <f>+K49+L49+M49+N49</f>
        <v>0</v>
      </c>
      <c r="P49" s="25">
        <f>COUNTIFS('жами банкоматлар 2025'!$D:$D,$C49,'жами банкоматлар 2025'!$I:$I,"UzCard",'жами банкоматлар 2025'!$G:$G,"NCR 6622")</f>
        <v>0</v>
      </c>
      <c r="Q49" s="26">
        <f>COUNTIFS('жами банкоматлар 2025'!$D:$D,$C49,'жами банкоматлар 2025'!$I:$I,"UzCard",'жами банкоматлар 2025'!$G:$G,"NCR 6623")</f>
        <v>0</v>
      </c>
      <c r="R49" s="26">
        <f>COUNTIFS('жами банкоматлар 2025'!$D:$D,$C49,'жами банкоматлар 2025'!$I:$I,"UzCard",'жами банкоматлар 2025'!$G:$G,"NCR 6682")</f>
        <v>0</v>
      </c>
      <c r="S49" s="26">
        <f>COUNTIFS('жами банкоматлар 2025'!$D:$D,$C49,'жами банкоматлар 2025'!$I:$I,"UzCard",'жами банкоматлар 2025'!$G:$G,"CINEO C2070")</f>
        <v>0</v>
      </c>
      <c r="T49" s="26">
        <f>COUNTIFS('жами банкоматлар 2025'!$D:$D,$C49,'жами банкоматлар 2025'!$I:$I,"UzCard",'жами банкоматлар 2025'!$G:$G,"CINEO C4560")</f>
        <v>0</v>
      </c>
      <c r="U49" s="27">
        <f t="shared" si="1"/>
        <v>0</v>
      </c>
      <c r="V49" s="46">
        <f t="shared" si="4"/>
        <v>0</v>
      </c>
      <c r="W49" s="47">
        <v>4</v>
      </c>
      <c r="X49" s="46">
        <v>1500</v>
      </c>
      <c r="Y49" s="51">
        <v>1983</v>
      </c>
      <c r="Z49" s="55">
        <v>1</v>
      </c>
      <c r="AA49" s="46">
        <v>1</v>
      </c>
      <c r="AB49" s="42"/>
      <c r="AC49" s="42"/>
      <c r="AD49" s="42"/>
      <c r="AE49" s="22"/>
    </row>
    <row r="50" spans="1:31" ht="16.5" thickBot="1" x14ac:dyDescent="0.3">
      <c r="A50" s="23">
        <v>48</v>
      </c>
      <c r="B50" s="29" t="s">
        <v>165</v>
      </c>
      <c r="C50" s="160" t="s">
        <v>1734</v>
      </c>
      <c r="D50" s="18" t="s">
        <v>1744</v>
      </c>
      <c r="E50" s="30">
        <f>COUNTIFS('жами банкоматлар 2025'!$D:$D,$C50,'жами банкоматлар 2025'!$I:$I,"Humo",'жами банкоматлар 2025'!$G:$G,"CINEO C2040")</f>
        <v>0</v>
      </c>
      <c r="F50" s="31">
        <f>COUNTIFS('жами банкоматлар 2025'!$D:$D,$C50,'жами банкоматлар 2025'!$I:$I,"Humo",'жами банкоматлар 2025'!$G:$G,"CINEO C2070")</f>
        <v>0</v>
      </c>
      <c r="G50" s="31">
        <f>COUNTIFS('жами банкоматлар 2025'!$D:$D,$C50,'жами банкоматлар 2025'!$I:$I,"Humo",'жами банкоматлар 2025'!$G:$G,"NCR 6623")</f>
        <v>0</v>
      </c>
      <c r="H50" s="31">
        <f>COUNTIFS('жами банкоматлар 2025'!$D:$D,$C50,'жами банкоматлар 2025'!$I:$I,"Humo",'жами банкоматлар 2025'!$G:$G,"NCR 6682")</f>
        <v>0</v>
      </c>
      <c r="I50" s="59">
        <f>COUNTIFS('жами банкоматлар 2025'!$D:$D,$C50,'жами банкоматлар 2025'!$I:$I,"Humo",'жами банкоматлар 2025'!$G:$G,"GRG P5800")</f>
        <v>0</v>
      </c>
      <c r="J50" s="32">
        <f t="shared" si="3"/>
        <v>0</v>
      </c>
      <c r="K50" s="68">
        <f>COUNTIFS('жами банкоматлар 2025'!$D:$D,$C50,'жами банкоматлар 2025'!$I:$I,"Way4",'жами банкоматлар 2025'!$G:$G,"NCR 6623")</f>
        <v>0</v>
      </c>
      <c r="L50" s="25">
        <f>COUNTIFS('жами банкоматлар 2025'!$D:$D,$C50,'жами банкоматлар 2025'!$I:$I,"Way4",'жами банкоматлар 2025'!$G:$G,"NCR 6682")</f>
        <v>0</v>
      </c>
      <c r="M50" s="69">
        <f>COUNTIFS('жами банкоматлар 2025'!$D:$D,$C50,'жами банкоматлар 2025'!$I:$I,"Way4",'жами банкоматлар 2025'!$G:$G,"CINEO C2070")</f>
        <v>0</v>
      </c>
      <c r="N50" s="70">
        <f>COUNTIFS('жами банкоматлар 2025'!$D:$D,$C50,'жами банкоматлар 2025'!$I:$I,"Way4",'жами банкоматлар 2025'!$G:$G,"GRG P5800")</f>
        <v>0</v>
      </c>
      <c r="O50" s="71">
        <f>+K50+L50+M50+N50</f>
        <v>0</v>
      </c>
      <c r="P50" s="30">
        <f>COUNTIFS('жами банкоматлар 2025'!$D:$D,$C50,'жами банкоматлар 2025'!$I:$I,"UzCard",'жами банкоматлар 2025'!$G:$G,"NCR 6622")</f>
        <v>0</v>
      </c>
      <c r="Q50" s="31">
        <f>COUNTIFS('жами банкоматлар 2025'!$D:$D,$C50,'жами банкоматлар 2025'!$I:$I,"UzCard",'жами банкоматлар 2025'!$G:$G,"NCR 6623")</f>
        <v>0</v>
      </c>
      <c r="R50" s="26">
        <f>COUNTIFS('жами банкоматлар 2025'!$D:$D,$C50,'жами банкоматлар 2025'!$I:$I,"UzCard",'жами банкоматлар 2025'!$G:$G,"NCR 6682")</f>
        <v>0</v>
      </c>
      <c r="S50" s="31">
        <f>COUNTIFS('жами банкоматлар 2025'!$D:$D,$C50,'жами банкоматлар 2025'!$I:$I,"UzCard",'жами банкоматлар 2025'!$G:$G,"CINEO C2070")</f>
        <v>0</v>
      </c>
      <c r="T50" s="31">
        <f>COUNTIFS('жами банкоматлар 2025'!$D:$D,$C50,'жами банкоматлар 2025'!$I:$I,"UzCard",'жами банкоматлар 2025'!$G:$G,"CINEO C4560")</f>
        <v>0</v>
      </c>
      <c r="U50" s="32">
        <f t="shared" si="1"/>
        <v>0</v>
      </c>
      <c r="V50" s="48">
        <f t="shared" si="4"/>
        <v>0</v>
      </c>
      <c r="W50" s="49">
        <v>1</v>
      </c>
      <c r="X50" s="48">
        <v>214</v>
      </c>
      <c r="Y50" s="52">
        <v>249</v>
      </c>
      <c r="Z50" s="56">
        <v>2</v>
      </c>
      <c r="AA50" s="48">
        <v>2</v>
      </c>
      <c r="AB50" s="42"/>
      <c r="AC50" s="42"/>
      <c r="AD50" s="42"/>
      <c r="AE50" s="22"/>
    </row>
    <row r="51" spans="1:31" ht="17.25" thickBot="1" x14ac:dyDescent="0.3">
      <c r="A51" s="221" t="s">
        <v>177</v>
      </c>
      <c r="B51" s="222"/>
      <c r="C51" s="222"/>
      <c r="D51" s="223"/>
      <c r="E51" s="33">
        <f>SUM(E3:E50)</f>
        <v>0</v>
      </c>
      <c r="F51" s="34">
        <f t="shared" ref="F51:T51" si="5">SUM(F3:F50)</f>
        <v>0</v>
      </c>
      <c r="G51" s="34">
        <f t="shared" si="5"/>
        <v>0</v>
      </c>
      <c r="H51" s="34">
        <f t="shared" si="5"/>
        <v>0</v>
      </c>
      <c r="I51" s="34">
        <f t="shared" si="5"/>
        <v>0</v>
      </c>
      <c r="J51" s="35">
        <f t="shared" si="5"/>
        <v>0</v>
      </c>
      <c r="K51" s="72">
        <f t="shared" si="5"/>
        <v>0</v>
      </c>
      <c r="L51" s="169">
        <f>SUM(L3:L50)</f>
        <v>0</v>
      </c>
      <c r="M51" s="73">
        <f t="shared" si="5"/>
        <v>0</v>
      </c>
      <c r="N51" s="73">
        <f t="shared" si="5"/>
        <v>0</v>
      </c>
      <c r="O51" s="74">
        <f t="shared" si="5"/>
        <v>0</v>
      </c>
      <c r="P51" s="33">
        <f t="shared" si="5"/>
        <v>0</v>
      </c>
      <c r="Q51" s="34">
        <f t="shared" si="5"/>
        <v>1</v>
      </c>
      <c r="R51" s="34">
        <f t="shared" si="5"/>
        <v>0</v>
      </c>
      <c r="S51" s="34">
        <f t="shared" si="5"/>
        <v>0</v>
      </c>
      <c r="T51" s="34">
        <f t="shared" si="5"/>
        <v>0</v>
      </c>
      <c r="U51" s="36">
        <f>SUM(U3:U50)</f>
        <v>1</v>
      </c>
      <c r="V51" s="9">
        <f t="shared" ref="V51:AA51" si="6">SUM(V3:V50)</f>
        <v>1</v>
      </c>
      <c r="W51" s="43">
        <f t="shared" si="6"/>
        <v>128</v>
      </c>
      <c r="X51" s="9">
        <f t="shared" si="6"/>
        <v>15774</v>
      </c>
      <c r="Y51" s="53">
        <f t="shared" si="6"/>
        <v>19367</v>
      </c>
      <c r="Z51" s="43">
        <f t="shared" si="6"/>
        <v>32</v>
      </c>
      <c r="AA51" s="9">
        <f t="shared" si="6"/>
        <v>45</v>
      </c>
      <c r="AB51" s="39"/>
      <c r="AC51" s="39"/>
      <c r="AD51" s="39"/>
      <c r="AE51" s="10"/>
    </row>
    <row r="52" spans="1:31" ht="15.75" thickBot="1" x14ac:dyDescent="0.3">
      <c r="B52" s="1"/>
    </row>
    <row r="53" spans="1:31" ht="17.25" thickBot="1" x14ac:dyDescent="0.3">
      <c r="B53" s="1"/>
      <c r="P53" s="224" t="s">
        <v>449</v>
      </c>
      <c r="Q53" s="225"/>
      <c r="R53" s="225"/>
      <c r="S53" s="225"/>
      <c r="T53" s="226"/>
      <c r="U53" s="38">
        <f>+J51+O51+U51</f>
        <v>1</v>
      </c>
      <c r="V53" s="39"/>
      <c r="W53" s="39"/>
      <c r="X53" s="39"/>
      <c r="Y53" s="39"/>
      <c r="Z53" s="39"/>
      <c r="AA53" s="39"/>
      <c r="AB53" s="39"/>
      <c r="AC53" s="39"/>
      <c r="AD53" s="39"/>
      <c r="AE53" s="10"/>
    </row>
    <row r="54" spans="1:31" s="6" customFormat="1" x14ac:dyDescent="0.25">
      <c r="A54" s="1"/>
      <c r="B54" s="1"/>
      <c r="C54" s="1"/>
      <c r="D54" s="5"/>
      <c r="E54" s="2"/>
      <c r="F54" s="2"/>
      <c r="G54" s="2"/>
      <c r="H54" s="2"/>
      <c r="I54" s="2"/>
      <c r="J54" s="7"/>
      <c r="K54" s="1"/>
      <c r="L54" s="1"/>
      <c r="M54" s="2"/>
      <c r="N54" s="2"/>
      <c r="O54" s="7"/>
      <c r="P54" s="2"/>
      <c r="Q54" s="2"/>
      <c r="R54" s="2"/>
      <c r="S54" s="2"/>
      <c r="T54" s="2"/>
      <c r="U54" s="7"/>
      <c r="V54" s="37"/>
      <c r="W54" s="37"/>
      <c r="X54" s="37"/>
      <c r="Y54" s="37"/>
      <c r="Z54" s="37"/>
      <c r="AA54" s="37"/>
      <c r="AB54" s="37"/>
      <c r="AC54" s="37"/>
      <c r="AD54" s="37"/>
    </row>
    <row r="55" spans="1:31" s="6" customFormat="1" x14ac:dyDescent="0.25">
      <c r="A55" s="1"/>
      <c r="B55" s="1"/>
      <c r="C55" s="1"/>
      <c r="D55" s="5"/>
      <c r="E55" s="2"/>
      <c r="F55" s="2"/>
      <c r="G55" s="2"/>
      <c r="H55" s="2"/>
      <c r="I55" s="2"/>
      <c r="J55" s="7"/>
      <c r="K55" s="1"/>
      <c r="L55" s="1"/>
      <c r="M55" s="2"/>
      <c r="N55" s="2"/>
      <c r="O55" s="7"/>
      <c r="P55" s="2"/>
      <c r="Q55" s="2"/>
      <c r="R55" s="2"/>
      <c r="S55" s="2"/>
      <c r="T55" s="2"/>
      <c r="U55" s="7"/>
      <c r="V55" s="37"/>
      <c r="W55" s="37"/>
      <c r="X55" s="37"/>
      <c r="Y55" s="37"/>
      <c r="Z55" s="37"/>
      <c r="AA55" s="37"/>
      <c r="AB55" s="37"/>
      <c r="AC55" s="37"/>
      <c r="AD55" s="37"/>
    </row>
    <row r="56" spans="1:31" s="6" customFormat="1" x14ac:dyDescent="0.25">
      <c r="A56" s="1"/>
      <c r="B56" s="1"/>
      <c r="C56" s="1"/>
      <c r="D56" s="5"/>
      <c r="E56" s="2"/>
      <c r="F56" s="2"/>
      <c r="G56" s="2"/>
      <c r="H56" s="2"/>
      <c r="I56" s="2"/>
      <c r="J56" s="7"/>
      <c r="K56" s="1"/>
      <c r="L56" s="1"/>
      <c r="M56" s="2"/>
      <c r="N56" s="2"/>
      <c r="O56" s="7"/>
      <c r="P56" s="2"/>
      <c r="Q56" s="2"/>
      <c r="R56" s="2"/>
      <c r="S56" s="2"/>
      <c r="T56" s="2"/>
      <c r="U56" s="7"/>
      <c r="V56" s="37"/>
      <c r="W56" s="37"/>
      <c r="X56" s="37"/>
      <c r="Y56" s="37"/>
      <c r="Z56" s="37"/>
      <c r="AA56" s="37"/>
      <c r="AB56" s="37"/>
      <c r="AC56" s="37"/>
      <c r="AD56" s="37"/>
    </row>
    <row r="57" spans="1:31" s="6" customFormat="1" x14ac:dyDescent="0.25">
      <c r="A57" s="1"/>
      <c r="B57" s="1"/>
      <c r="C57" s="1"/>
      <c r="D57" s="5"/>
      <c r="E57" s="2"/>
      <c r="F57" s="2"/>
      <c r="G57" s="2"/>
      <c r="H57" s="2" t="s">
        <v>187</v>
      </c>
      <c r="I57" s="2"/>
      <c r="J57" s="7"/>
      <c r="K57" s="1"/>
      <c r="L57" s="1"/>
      <c r="M57" s="2"/>
      <c r="N57" s="2"/>
      <c r="O57" s="7"/>
      <c r="P57" s="2"/>
      <c r="Q57" s="2"/>
      <c r="R57" s="2"/>
      <c r="S57" s="2"/>
      <c r="T57" s="2"/>
      <c r="U57" s="7"/>
      <c r="V57" s="37"/>
      <c r="W57" s="37"/>
      <c r="X57" s="37"/>
      <c r="Y57" s="37"/>
      <c r="Z57" s="37"/>
      <c r="AA57" s="37"/>
      <c r="AB57" s="37"/>
      <c r="AC57" s="37"/>
      <c r="AD57" s="37"/>
    </row>
    <row r="58" spans="1:31" s="6" customFormat="1" x14ac:dyDescent="0.25">
      <c r="A58" s="1"/>
      <c r="B58" s="1"/>
      <c r="C58" s="1"/>
      <c r="D58" s="5"/>
      <c r="E58" s="2"/>
      <c r="F58" s="2"/>
      <c r="G58" s="2"/>
      <c r="H58" s="2"/>
      <c r="I58" s="2"/>
      <c r="J58" s="7"/>
      <c r="K58" s="1"/>
      <c r="L58" s="1"/>
      <c r="M58" s="2"/>
      <c r="N58" s="2"/>
      <c r="O58" s="7"/>
      <c r="P58" s="2"/>
      <c r="Q58" s="2"/>
      <c r="R58" s="2"/>
      <c r="S58" s="2"/>
      <c r="T58" s="2"/>
      <c r="U58" s="7"/>
      <c r="V58" s="37"/>
      <c r="W58" s="37"/>
      <c r="X58" s="37"/>
      <c r="Y58" s="37"/>
      <c r="Z58" s="37"/>
      <c r="AA58" s="37"/>
      <c r="AB58" s="37"/>
      <c r="AC58" s="37"/>
      <c r="AD58" s="37"/>
    </row>
    <row r="59" spans="1:31" s="6" customFormat="1" x14ac:dyDescent="0.25">
      <c r="A59" s="1"/>
      <c r="B59" s="1"/>
      <c r="C59" s="1"/>
      <c r="D59" s="5"/>
      <c r="E59" s="2"/>
      <c r="F59" s="2"/>
      <c r="G59" s="2"/>
      <c r="H59" s="2"/>
      <c r="I59" s="2"/>
      <c r="J59" s="7"/>
      <c r="K59" s="1"/>
      <c r="L59" s="1"/>
      <c r="M59" s="2"/>
      <c r="N59" s="2"/>
      <c r="O59" s="7"/>
      <c r="P59" s="2"/>
      <c r="Q59" s="2"/>
      <c r="R59" s="2"/>
      <c r="S59" s="2"/>
      <c r="T59" s="2"/>
      <c r="U59" s="7"/>
      <c r="V59" s="37"/>
      <c r="W59" s="37"/>
      <c r="X59" s="37"/>
      <c r="Y59" s="37"/>
      <c r="Z59" s="37"/>
      <c r="AA59" s="37"/>
      <c r="AB59" s="37"/>
      <c r="AC59" s="37"/>
      <c r="AD59" s="37"/>
    </row>
    <row r="60" spans="1:31" s="6" customFormat="1" x14ac:dyDescent="0.25">
      <c r="A60" s="1"/>
      <c r="B60" s="1"/>
      <c r="C60" s="1"/>
      <c r="D60" s="5"/>
      <c r="E60" s="2"/>
      <c r="F60" s="2"/>
      <c r="G60" s="2"/>
      <c r="H60" s="2"/>
      <c r="I60" s="2"/>
      <c r="J60" s="7"/>
      <c r="K60" s="1"/>
      <c r="L60" s="1"/>
      <c r="M60" s="2"/>
      <c r="N60" s="2"/>
      <c r="O60" s="7"/>
      <c r="P60" s="2"/>
      <c r="Q60" s="2"/>
      <c r="R60" s="2"/>
      <c r="S60" s="2"/>
      <c r="T60" s="2"/>
      <c r="U60" s="7"/>
      <c r="V60" s="37"/>
      <c r="W60" s="37"/>
      <c r="X60" s="37"/>
      <c r="Y60" s="37"/>
      <c r="Z60" s="37"/>
      <c r="AA60" s="37"/>
      <c r="AB60" s="37"/>
      <c r="AC60" s="37"/>
      <c r="AD60" s="37"/>
    </row>
    <row r="61" spans="1:31" s="6" customFormat="1" x14ac:dyDescent="0.25">
      <c r="A61" s="1"/>
      <c r="B61" s="1"/>
      <c r="C61" s="1"/>
      <c r="D61" s="5"/>
      <c r="E61" s="2"/>
      <c r="F61" s="2"/>
      <c r="G61" s="2"/>
      <c r="H61" s="2"/>
      <c r="I61" s="2"/>
      <c r="J61" s="7"/>
      <c r="K61" s="1"/>
      <c r="L61" s="1"/>
      <c r="M61" s="2"/>
      <c r="N61" s="2"/>
      <c r="O61" s="7"/>
      <c r="P61" s="2"/>
      <c r="Q61" s="2"/>
      <c r="R61" s="2"/>
      <c r="S61" s="2"/>
      <c r="T61" s="2"/>
      <c r="U61" s="7"/>
      <c r="V61" s="37"/>
      <c r="W61" s="37"/>
      <c r="X61" s="37"/>
      <c r="Y61" s="37"/>
      <c r="Z61" s="37"/>
      <c r="AA61" s="37"/>
      <c r="AB61" s="37"/>
      <c r="AC61" s="37"/>
      <c r="AD61" s="37"/>
    </row>
    <row r="62" spans="1:31" s="6" customFormat="1" x14ac:dyDescent="0.25">
      <c r="A62" s="1"/>
      <c r="B62" s="1"/>
      <c r="C62" s="1"/>
      <c r="D62" s="5"/>
      <c r="E62" s="2"/>
      <c r="F62" s="2"/>
      <c r="G62" s="2"/>
      <c r="H62" s="2"/>
      <c r="I62" s="2"/>
      <c r="J62" s="7"/>
      <c r="K62" s="1"/>
      <c r="L62" s="1"/>
      <c r="M62" s="2"/>
      <c r="N62" s="2"/>
      <c r="O62" s="7"/>
      <c r="P62" s="2"/>
      <c r="Q62" s="2"/>
      <c r="R62" s="2"/>
      <c r="S62" s="2"/>
      <c r="T62" s="2"/>
      <c r="U62" s="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1" s="6" customFormat="1" x14ac:dyDescent="0.25">
      <c r="A63" s="1"/>
      <c r="B63" s="1"/>
      <c r="C63" s="1"/>
      <c r="D63" s="5"/>
      <c r="E63" s="2"/>
      <c r="F63" s="2"/>
      <c r="G63" s="2"/>
      <c r="H63" s="2"/>
      <c r="I63" s="2"/>
      <c r="J63" s="7"/>
      <c r="K63" s="1"/>
      <c r="L63" s="1"/>
      <c r="M63" s="2"/>
      <c r="N63" s="2"/>
      <c r="O63" s="7"/>
      <c r="P63" s="2"/>
      <c r="Q63" s="2"/>
      <c r="R63" s="2"/>
      <c r="S63" s="2"/>
      <c r="T63" s="2"/>
      <c r="U63" s="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1" s="6" customFormat="1" x14ac:dyDescent="0.25">
      <c r="A64" s="1"/>
      <c r="B64" s="1"/>
      <c r="C64" s="1"/>
      <c r="D64" s="5"/>
      <c r="E64" s="2"/>
      <c r="F64" s="2"/>
      <c r="G64" s="2"/>
      <c r="H64" s="2"/>
      <c r="I64" s="2"/>
      <c r="J64" s="7"/>
      <c r="K64" s="1"/>
      <c r="L64" s="1"/>
      <c r="M64" s="2"/>
      <c r="N64" s="2"/>
      <c r="O64" s="7"/>
      <c r="P64" s="2"/>
      <c r="Q64" s="2"/>
      <c r="R64" s="2"/>
      <c r="S64" s="2"/>
      <c r="T64" s="2"/>
      <c r="U64" s="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1" s="6" customFormat="1" x14ac:dyDescent="0.25">
      <c r="A65" s="1"/>
      <c r="B65" s="1"/>
      <c r="C65" s="1"/>
      <c r="D65" s="5"/>
      <c r="E65" s="2"/>
      <c r="F65" s="2"/>
      <c r="G65" s="2"/>
      <c r="H65" s="2"/>
      <c r="I65" s="2"/>
      <c r="J65" s="7"/>
      <c r="K65" s="1"/>
      <c r="L65" s="1"/>
      <c r="M65" s="2"/>
      <c r="N65" s="2"/>
      <c r="O65" s="7"/>
      <c r="P65" s="2"/>
      <c r="Q65" s="2"/>
      <c r="R65" s="2"/>
      <c r="S65" s="2"/>
      <c r="T65" s="2"/>
      <c r="U65" s="7"/>
      <c r="V65" s="37"/>
      <c r="W65" s="37"/>
      <c r="X65" s="37"/>
      <c r="Y65" s="37"/>
      <c r="Z65" s="37"/>
      <c r="AA65" s="37"/>
      <c r="AB65" s="37"/>
      <c r="AC65" s="37"/>
      <c r="AD65" s="37"/>
    </row>
    <row r="66" spans="1:31" s="6" customFormat="1" x14ac:dyDescent="0.25">
      <c r="A66" s="1"/>
      <c r="B66" s="1"/>
      <c r="C66" s="1"/>
      <c r="D66" s="5"/>
      <c r="E66" s="2"/>
      <c r="F66" s="2"/>
      <c r="G66" s="2"/>
      <c r="H66" s="2"/>
      <c r="I66" s="2"/>
      <c r="J66" s="7"/>
      <c r="K66" s="1"/>
      <c r="L66" s="1"/>
      <c r="M66" s="2"/>
      <c r="N66" s="2"/>
      <c r="O66" s="7"/>
      <c r="P66" s="2"/>
      <c r="Q66" s="2"/>
      <c r="R66" s="2"/>
      <c r="S66" s="2"/>
      <c r="T66" s="2"/>
      <c r="U66" s="7"/>
      <c r="V66" s="37"/>
      <c r="W66" s="37"/>
      <c r="X66" s="37"/>
      <c r="Y66" s="37"/>
      <c r="Z66" s="37"/>
      <c r="AA66" s="37"/>
      <c r="AB66" s="37"/>
      <c r="AC66" s="37"/>
      <c r="AD66" s="37"/>
    </row>
    <row r="67" spans="1:31" s="6" customFormat="1" x14ac:dyDescent="0.25">
      <c r="A67" s="1"/>
      <c r="B67" s="1"/>
      <c r="C67" s="1"/>
      <c r="D67" s="5"/>
      <c r="E67" s="2"/>
      <c r="F67" s="2"/>
      <c r="G67" s="2"/>
      <c r="H67" s="2"/>
      <c r="I67" s="2"/>
      <c r="J67" s="7"/>
      <c r="K67" s="1"/>
      <c r="L67" s="1"/>
      <c r="M67" s="2"/>
      <c r="N67" s="2"/>
      <c r="O67" s="7"/>
      <c r="P67" s="2"/>
      <c r="Q67" s="2"/>
      <c r="R67" s="2"/>
      <c r="S67" s="2"/>
      <c r="T67" s="2"/>
      <c r="U67" s="7"/>
      <c r="V67" s="37"/>
      <c r="W67" s="37"/>
      <c r="X67" s="37"/>
      <c r="Y67" s="37"/>
      <c r="Z67" s="37"/>
      <c r="AA67" s="37"/>
      <c r="AB67" s="37"/>
      <c r="AC67" s="37"/>
      <c r="AD67" s="37"/>
    </row>
    <row r="68" spans="1:31" s="6" customFormat="1" x14ac:dyDescent="0.25">
      <c r="A68" s="1"/>
      <c r="B68" s="1"/>
      <c r="C68" s="1"/>
      <c r="D68" s="5"/>
      <c r="E68" s="2"/>
      <c r="F68" s="2"/>
      <c r="G68" s="2"/>
      <c r="H68" s="2"/>
      <c r="I68" s="2"/>
      <c r="J68" s="7"/>
      <c r="K68" s="1"/>
      <c r="L68" s="1"/>
      <c r="M68" s="2"/>
      <c r="N68" s="2"/>
      <c r="O68" s="7"/>
      <c r="P68" s="2"/>
      <c r="Q68" s="2"/>
      <c r="R68" s="2"/>
      <c r="S68" s="2"/>
      <c r="T68" s="2"/>
      <c r="U68" s="7"/>
      <c r="V68" s="37"/>
      <c r="W68" s="37"/>
      <c r="X68" s="37"/>
      <c r="Y68" s="37"/>
      <c r="Z68" s="37"/>
      <c r="AA68" s="37"/>
      <c r="AB68" s="37"/>
      <c r="AC68" s="37"/>
      <c r="AD68" s="37"/>
    </row>
    <row r="69" spans="1:31" s="6" customFormat="1" x14ac:dyDescent="0.25">
      <c r="A69" s="1"/>
      <c r="B69" s="1"/>
      <c r="C69" s="1"/>
      <c r="D69" s="5"/>
      <c r="E69" s="2"/>
      <c r="F69" s="2"/>
      <c r="G69" s="2"/>
      <c r="H69" s="2"/>
      <c r="I69" s="2"/>
      <c r="J69" s="7"/>
      <c r="K69" s="1"/>
      <c r="L69" s="1"/>
      <c r="M69" s="2"/>
      <c r="N69" s="2"/>
      <c r="O69" s="7"/>
      <c r="P69" s="2"/>
      <c r="Q69" s="2"/>
      <c r="R69" s="2"/>
      <c r="S69" s="2"/>
      <c r="T69" s="2"/>
      <c r="U69" s="7"/>
      <c r="V69" s="37"/>
      <c r="W69" s="37"/>
      <c r="X69" s="37"/>
      <c r="Y69" s="37"/>
      <c r="Z69" s="37"/>
      <c r="AA69" s="37"/>
      <c r="AB69" s="37"/>
      <c r="AC69" s="37"/>
      <c r="AD69" s="37"/>
    </row>
    <row r="70" spans="1:31" s="1" customFormat="1" x14ac:dyDescent="0.25">
      <c r="D70" s="5"/>
      <c r="E70" s="2"/>
      <c r="F70" s="2"/>
      <c r="G70" s="2"/>
      <c r="H70" s="2"/>
      <c r="I70" s="2"/>
      <c r="J70" s="7"/>
      <c r="M70" s="2"/>
      <c r="N70" s="2"/>
      <c r="O70" s="7"/>
      <c r="P70" s="2"/>
      <c r="Q70" s="2"/>
      <c r="R70" s="2"/>
      <c r="S70" s="2"/>
      <c r="T70" s="2"/>
      <c r="U70" s="7"/>
      <c r="V70" s="37"/>
      <c r="W70" s="37"/>
      <c r="X70" s="37"/>
      <c r="Y70" s="37"/>
      <c r="Z70" s="37"/>
      <c r="AA70" s="37"/>
      <c r="AB70" s="37"/>
      <c r="AC70" s="37"/>
      <c r="AD70" s="37"/>
      <c r="AE70" s="6"/>
    </row>
    <row r="71" spans="1:31" s="1" customFormat="1" x14ac:dyDescent="0.25">
      <c r="D71" s="5"/>
      <c r="E71" s="2"/>
      <c r="F71" s="2"/>
      <c r="G71" s="2"/>
      <c r="H71" s="2"/>
      <c r="I71" s="2"/>
      <c r="J71" s="7"/>
      <c r="M71" s="2"/>
      <c r="N71" s="2"/>
      <c r="O71" s="7"/>
      <c r="P71" s="2"/>
      <c r="Q71" s="2"/>
      <c r="R71" s="2"/>
      <c r="S71" s="2"/>
      <c r="T71" s="2"/>
      <c r="U71" s="7"/>
      <c r="V71" s="37"/>
      <c r="W71" s="37"/>
      <c r="X71" s="37"/>
      <c r="Y71" s="37"/>
      <c r="Z71" s="37"/>
      <c r="AA71" s="37"/>
      <c r="AB71" s="37"/>
      <c r="AC71" s="37"/>
      <c r="AD71" s="37"/>
      <c r="AE71" s="6"/>
    </row>
    <row r="72" spans="1:31" s="1" customFormat="1" x14ac:dyDescent="0.25">
      <c r="D72" s="5"/>
      <c r="E72" s="2"/>
      <c r="F72" s="2"/>
      <c r="G72" s="2"/>
      <c r="H72" s="2"/>
      <c r="I72" s="2"/>
      <c r="J72" s="7"/>
      <c r="M72" s="2"/>
      <c r="N72" s="2"/>
      <c r="O72" s="7"/>
      <c r="P72" s="2"/>
      <c r="Q72" s="2"/>
      <c r="R72" s="2"/>
      <c r="S72" s="2"/>
      <c r="T72" s="2"/>
      <c r="U72" s="7"/>
      <c r="V72" s="37"/>
      <c r="W72" s="37"/>
      <c r="X72" s="37"/>
      <c r="Y72" s="37"/>
      <c r="Z72" s="37"/>
      <c r="AA72" s="37"/>
      <c r="AB72" s="37"/>
      <c r="AC72" s="37"/>
      <c r="AD72" s="37"/>
      <c r="AE72" s="6"/>
    </row>
    <row r="73" spans="1:31" s="1" customFormat="1" x14ac:dyDescent="0.25">
      <c r="D73" s="5"/>
      <c r="E73" s="2"/>
      <c r="F73" s="2"/>
      <c r="G73" s="2"/>
      <c r="H73" s="2"/>
      <c r="I73" s="2"/>
      <c r="J73" s="7"/>
      <c r="M73" s="2"/>
      <c r="N73" s="2"/>
      <c r="O73" s="7"/>
      <c r="P73" s="2"/>
      <c r="Q73" s="2"/>
      <c r="R73" s="2"/>
      <c r="S73" s="2"/>
      <c r="T73" s="2"/>
      <c r="U73" s="7"/>
      <c r="V73" s="37"/>
      <c r="W73" s="37"/>
      <c r="X73" s="37"/>
      <c r="Y73" s="37"/>
      <c r="Z73" s="37"/>
      <c r="AA73" s="37"/>
      <c r="AB73" s="37"/>
      <c r="AC73" s="37"/>
      <c r="AD73" s="37"/>
      <c r="AE73" s="6"/>
    </row>
    <row r="74" spans="1:31" s="1" customFormat="1" x14ac:dyDescent="0.25">
      <c r="D74" s="5"/>
      <c r="E74" s="2"/>
      <c r="F74" s="2"/>
      <c r="G74" s="2"/>
      <c r="H74" s="2"/>
      <c r="I74" s="2"/>
      <c r="J74" s="7"/>
      <c r="M74" s="2"/>
      <c r="N74" s="2"/>
      <c r="O74" s="7"/>
      <c r="P74" s="2"/>
      <c r="Q74" s="2"/>
      <c r="R74" s="2"/>
      <c r="S74" s="2"/>
      <c r="T74" s="2"/>
      <c r="U74" s="7"/>
      <c r="V74" s="37"/>
      <c r="W74" s="37"/>
      <c r="X74" s="37"/>
      <c r="Y74" s="37"/>
      <c r="Z74" s="37"/>
      <c r="AA74" s="37"/>
      <c r="AB74" s="37"/>
      <c r="AC74" s="37"/>
      <c r="AD74" s="37"/>
      <c r="AE74" s="6"/>
    </row>
    <row r="75" spans="1:31" s="1" customFormat="1" x14ac:dyDescent="0.25">
      <c r="D75" s="5"/>
      <c r="E75" s="2"/>
      <c r="F75" s="2"/>
      <c r="G75" s="2"/>
      <c r="H75" s="2"/>
      <c r="I75" s="2"/>
      <c r="J75" s="7"/>
      <c r="M75" s="2"/>
      <c r="N75" s="2"/>
      <c r="O75" s="7"/>
      <c r="P75" s="2"/>
      <c r="Q75" s="2"/>
      <c r="R75" s="2"/>
      <c r="S75" s="2"/>
      <c r="T75" s="2"/>
      <c r="U75" s="7"/>
      <c r="V75" s="37"/>
      <c r="W75" s="37"/>
      <c r="X75" s="37"/>
      <c r="Y75" s="37"/>
      <c r="Z75" s="37"/>
      <c r="AA75" s="37"/>
      <c r="AB75" s="37"/>
      <c r="AC75" s="37"/>
      <c r="AD75" s="37"/>
      <c r="AE75" s="6"/>
    </row>
    <row r="76" spans="1:31" s="1" customFormat="1" x14ac:dyDescent="0.25">
      <c r="D76" s="5"/>
      <c r="E76" s="2"/>
      <c r="F76" s="2"/>
      <c r="G76" s="2"/>
      <c r="H76" s="2"/>
      <c r="I76" s="2"/>
      <c r="J76" s="7"/>
      <c r="M76" s="2"/>
      <c r="N76" s="2"/>
      <c r="O76" s="7"/>
      <c r="P76" s="2"/>
      <c r="Q76" s="2"/>
      <c r="R76" s="2"/>
      <c r="S76" s="2"/>
      <c r="T76" s="2"/>
      <c r="U76" s="7"/>
      <c r="V76" s="37"/>
      <c r="W76" s="37"/>
      <c r="X76" s="37"/>
      <c r="Y76" s="37"/>
      <c r="Z76" s="37"/>
      <c r="AA76" s="37"/>
      <c r="AB76" s="37"/>
      <c r="AC76" s="37"/>
      <c r="AD76" s="37"/>
      <c r="AE76" s="6"/>
    </row>
    <row r="77" spans="1:31" s="1" customFormat="1" x14ac:dyDescent="0.25">
      <c r="D77" s="5"/>
      <c r="E77" s="2"/>
      <c r="F77" s="2"/>
      <c r="G77" s="2"/>
      <c r="H77" s="2"/>
      <c r="I77" s="2"/>
      <c r="J77" s="7"/>
      <c r="M77" s="2"/>
      <c r="N77" s="2"/>
      <c r="O77" s="7"/>
      <c r="P77" s="2"/>
      <c r="Q77" s="2"/>
      <c r="R77" s="2"/>
      <c r="S77" s="2"/>
      <c r="T77" s="2"/>
      <c r="U77" s="7"/>
      <c r="V77" s="37"/>
      <c r="W77" s="37"/>
      <c r="X77" s="37"/>
      <c r="Y77" s="37"/>
      <c r="Z77" s="37"/>
      <c r="AA77" s="37"/>
      <c r="AB77" s="37"/>
      <c r="AC77" s="37"/>
      <c r="AD77" s="37"/>
      <c r="AE77" s="6"/>
    </row>
    <row r="78" spans="1:31" s="1" customFormat="1" x14ac:dyDescent="0.25">
      <c r="D78" s="5"/>
      <c r="E78" s="2"/>
      <c r="F78" s="2"/>
      <c r="G78" s="2"/>
      <c r="H78" s="2"/>
      <c r="I78" s="2"/>
      <c r="J78" s="7"/>
      <c r="M78" s="2"/>
      <c r="N78" s="2"/>
      <c r="O78" s="7"/>
      <c r="P78" s="2"/>
      <c r="Q78" s="2"/>
      <c r="R78" s="2"/>
      <c r="S78" s="2"/>
      <c r="T78" s="2"/>
      <c r="U78" s="7"/>
      <c r="V78" s="37"/>
      <c r="W78" s="37"/>
      <c r="X78" s="37"/>
      <c r="Y78" s="37"/>
      <c r="Z78" s="37"/>
      <c r="AA78" s="37"/>
      <c r="AB78" s="37"/>
      <c r="AC78" s="37"/>
      <c r="AD78" s="37"/>
      <c r="AE78" s="6"/>
    </row>
    <row r="79" spans="1:31" s="1" customFormat="1" x14ac:dyDescent="0.25">
      <c r="D79" s="5"/>
      <c r="E79" s="2"/>
      <c r="F79" s="2"/>
      <c r="G79" s="2"/>
      <c r="H79" s="2"/>
      <c r="I79" s="2"/>
      <c r="J79" s="7"/>
      <c r="M79" s="2"/>
      <c r="N79" s="2"/>
      <c r="O79" s="7"/>
      <c r="P79" s="2"/>
      <c r="Q79" s="2"/>
      <c r="R79" s="2"/>
      <c r="S79" s="2"/>
      <c r="T79" s="2"/>
      <c r="U79" s="7"/>
      <c r="V79" s="37"/>
      <c r="W79" s="37"/>
      <c r="X79" s="37"/>
      <c r="Y79" s="37"/>
      <c r="Z79" s="37"/>
      <c r="AA79" s="37"/>
      <c r="AB79" s="37"/>
      <c r="AC79" s="37"/>
      <c r="AD79" s="37"/>
      <c r="AE79" s="6"/>
    </row>
    <row r="80" spans="1:31" s="1" customFormat="1" x14ac:dyDescent="0.25">
      <c r="D80" s="5"/>
      <c r="E80" s="2"/>
      <c r="F80" s="2"/>
      <c r="G80" s="2"/>
      <c r="H80" s="2"/>
      <c r="I80" s="2"/>
      <c r="J80" s="7"/>
      <c r="M80" s="2"/>
      <c r="N80" s="2"/>
      <c r="O80" s="7"/>
      <c r="P80" s="2"/>
      <c r="Q80" s="2"/>
      <c r="R80" s="2"/>
      <c r="S80" s="2"/>
      <c r="T80" s="2"/>
      <c r="U80" s="7"/>
      <c r="V80" s="37"/>
      <c r="W80" s="37"/>
      <c r="X80" s="37"/>
      <c r="Y80" s="37"/>
      <c r="Z80" s="37"/>
      <c r="AA80" s="37"/>
      <c r="AB80" s="37"/>
      <c r="AC80" s="37"/>
      <c r="AD80" s="37"/>
      <c r="AE80" s="6"/>
    </row>
    <row r="81" spans="4:31" s="1" customFormat="1" x14ac:dyDescent="0.25">
      <c r="D81" s="5"/>
      <c r="E81" s="2"/>
      <c r="F81" s="2"/>
      <c r="G81" s="2"/>
      <c r="H81" s="2"/>
      <c r="I81" s="2"/>
      <c r="J81" s="7"/>
      <c r="M81" s="2"/>
      <c r="N81" s="2"/>
      <c r="O81" s="7"/>
      <c r="P81" s="2"/>
      <c r="Q81" s="2"/>
      <c r="R81" s="2"/>
      <c r="S81" s="2"/>
      <c r="T81" s="2"/>
      <c r="U81" s="7"/>
      <c r="V81" s="37"/>
      <c r="W81" s="37"/>
      <c r="X81" s="37"/>
      <c r="Y81" s="37"/>
      <c r="Z81" s="37"/>
      <c r="AA81" s="37"/>
      <c r="AB81" s="37"/>
      <c r="AC81" s="37"/>
      <c r="AD81" s="37"/>
      <c r="AE81" s="6"/>
    </row>
    <row r="82" spans="4:31" s="1" customFormat="1" x14ac:dyDescent="0.25">
      <c r="D82" s="5"/>
      <c r="E82" s="2"/>
      <c r="F82" s="2"/>
      <c r="G82" s="2"/>
      <c r="H82" s="2"/>
      <c r="I82" s="2"/>
      <c r="J82" s="7"/>
      <c r="M82" s="2"/>
      <c r="N82" s="2"/>
      <c r="O82" s="7"/>
      <c r="P82" s="2"/>
      <c r="Q82" s="2"/>
      <c r="R82" s="2"/>
      <c r="S82" s="2"/>
      <c r="T82" s="2"/>
      <c r="U82" s="7"/>
      <c r="V82" s="37"/>
      <c r="W82" s="37"/>
      <c r="X82" s="37"/>
      <c r="Y82" s="37"/>
      <c r="Z82" s="37"/>
      <c r="AA82" s="37"/>
      <c r="AB82" s="37"/>
      <c r="AC82" s="37"/>
      <c r="AD82" s="37"/>
      <c r="AE82" s="6"/>
    </row>
    <row r="83" spans="4:31" s="1" customFormat="1" x14ac:dyDescent="0.25">
      <c r="D83" s="5"/>
      <c r="E83" s="2"/>
      <c r="F83" s="2"/>
      <c r="G83" s="2"/>
      <c r="H83" s="2"/>
      <c r="I83" s="2"/>
      <c r="J83" s="7"/>
      <c r="M83" s="2"/>
      <c r="N83" s="2"/>
      <c r="O83" s="7"/>
      <c r="P83" s="2"/>
      <c r="Q83" s="2"/>
      <c r="R83" s="2"/>
      <c r="S83" s="2"/>
      <c r="T83" s="2"/>
      <c r="U83" s="7"/>
      <c r="V83" s="37"/>
      <c r="W83" s="37"/>
      <c r="X83" s="37"/>
      <c r="Y83" s="37"/>
      <c r="Z83" s="37"/>
      <c r="AA83" s="37"/>
      <c r="AB83" s="37"/>
      <c r="AC83" s="37"/>
      <c r="AD83" s="37"/>
      <c r="AE83" s="6"/>
    </row>
    <row r="84" spans="4:31" s="1" customFormat="1" x14ac:dyDescent="0.25">
      <c r="D84" s="5"/>
      <c r="E84" s="2"/>
      <c r="F84" s="2"/>
      <c r="G84" s="2"/>
      <c r="H84" s="2"/>
      <c r="I84" s="2"/>
      <c r="J84" s="7"/>
      <c r="M84" s="2"/>
      <c r="N84" s="2"/>
      <c r="O84" s="7"/>
      <c r="P84" s="2"/>
      <c r="Q84" s="2"/>
      <c r="R84" s="2"/>
      <c r="S84" s="2"/>
      <c r="T84" s="2"/>
      <c r="U84" s="7"/>
      <c r="V84" s="37"/>
      <c r="W84" s="37"/>
      <c r="X84" s="37"/>
      <c r="Y84" s="37"/>
      <c r="Z84" s="37"/>
      <c r="AA84" s="37"/>
      <c r="AB84" s="37"/>
      <c r="AC84" s="37"/>
      <c r="AD84" s="37"/>
      <c r="AE84" s="6"/>
    </row>
    <row r="85" spans="4:31" s="1" customFormat="1" x14ac:dyDescent="0.25">
      <c r="D85" s="5"/>
      <c r="E85" s="2"/>
      <c r="F85" s="2"/>
      <c r="G85" s="2"/>
      <c r="H85" s="2"/>
      <c r="I85" s="2"/>
      <c r="J85" s="7"/>
      <c r="M85" s="2"/>
      <c r="N85" s="2"/>
      <c r="O85" s="7"/>
      <c r="P85" s="2"/>
      <c r="Q85" s="2"/>
      <c r="R85" s="2"/>
      <c r="S85" s="2"/>
      <c r="T85" s="2"/>
      <c r="U85" s="7"/>
      <c r="V85" s="37"/>
      <c r="W85" s="37"/>
      <c r="X85" s="37"/>
      <c r="Y85" s="37"/>
      <c r="Z85" s="37"/>
      <c r="AA85" s="37"/>
      <c r="AB85" s="37"/>
      <c r="AC85" s="37"/>
      <c r="AD85" s="37"/>
      <c r="AE85" s="6"/>
    </row>
    <row r="86" spans="4:31" s="1" customFormat="1" x14ac:dyDescent="0.25">
      <c r="D86" s="5"/>
      <c r="E86" s="2"/>
      <c r="F86" s="2"/>
      <c r="G86" s="2"/>
      <c r="H86" s="2"/>
      <c r="I86" s="2"/>
      <c r="J86" s="7"/>
      <c r="M86" s="2"/>
      <c r="N86" s="2"/>
      <c r="O86" s="7"/>
      <c r="P86" s="2"/>
      <c r="Q86" s="2"/>
      <c r="R86" s="2"/>
      <c r="S86" s="2"/>
      <c r="T86" s="2"/>
      <c r="U86" s="7"/>
      <c r="V86" s="37"/>
      <c r="W86" s="37"/>
      <c r="X86" s="37"/>
      <c r="Y86" s="37"/>
      <c r="Z86" s="37"/>
      <c r="AA86" s="37"/>
      <c r="AB86" s="37"/>
      <c r="AC86" s="37"/>
      <c r="AD86" s="37"/>
      <c r="AE86" s="6"/>
    </row>
    <row r="87" spans="4:31" s="1" customFormat="1" x14ac:dyDescent="0.25">
      <c r="D87" s="5"/>
      <c r="E87" s="2"/>
      <c r="F87" s="2"/>
      <c r="G87" s="2"/>
      <c r="H87" s="2"/>
      <c r="I87" s="2"/>
      <c r="J87" s="7"/>
      <c r="M87" s="2"/>
      <c r="N87" s="2"/>
      <c r="O87" s="7"/>
      <c r="P87" s="2"/>
      <c r="Q87" s="2"/>
      <c r="R87" s="2"/>
      <c r="S87" s="2"/>
      <c r="T87" s="2"/>
      <c r="U87" s="7"/>
      <c r="V87" s="37"/>
      <c r="W87" s="37"/>
      <c r="X87" s="37"/>
      <c r="Y87" s="37"/>
      <c r="Z87" s="37"/>
      <c r="AA87" s="37"/>
      <c r="AB87" s="37"/>
      <c r="AC87" s="37"/>
      <c r="AD87" s="37"/>
      <c r="AE87" s="6"/>
    </row>
    <row r="88" spans="4:31" s="1" customFormat="1" x14ac:dyDescent="0.25">
      <c r="D88" s="5"/>
      <c r="E88" s="2"/>
      <c r="F88" s="2"/>
      <c r="G88" s="2"/>
      <c r="H88" s="2"/>
      <c r="I88" s="2"/>
      <c r="J88" s="7"/>
      <c r="M88" s="2"/>
      <c r="N88" s="2"/>
      <c r="O88" s="7"/>
      <c r="P88" s="2"/>
      <c r="Q88" s="2"/>
      <c r="R88" s="2"/>
      <c r="S88" s="2"/>
      <c r="T88" s="2"/>
      <c r="U88" s="7"/>
      <c r="V88" s="37"/>
      <c r="W88" s="37"/>
      <c r="X88" s="37"/>
      <c r="Y88" s="37"/>
      <c r="Z88" s="37"/>
      <c r="AA88" s="37"/>
      <c r="AB88" s="37"/>
      <c r="AC88" s="37"/>
      <c r="AD88" s="37"/>
      <c r="AE88" s="6"/>
    </row>
    <row r="89" spans="4:31" s="1" customFormat="1" x14ac:dyDescent="0.25">
      <c r="D89" s="5"/>
      <c r="E89" s="2"/>
      <c r="F89" s="2"/>
      <c r="G89" s="2"/>
      <c r="H89" s="2"/>
      <c r="I89" s="2"/>
      <c r="J89" s="7"/>
      <c r="M89" s="2"/>
      <c r="N89" s="2"/>
      <c r="O89" s="7"/>
      <c r="P89" s="2"/>
      <c r="Q89" s="2"/>
      <c r="R89" s="2"/>
      <c r="S89" s="2"/>
      <c r="T89" s="2"/>
      <c r="U89" s="7"/>
      <c r="V89" s="37"/>
      <c r="W89" s="37"/>
      <c r="X89" s="37"/>
      <c r="Y89" s="37"/>
      <c r="Z89" s="37"/>
      <c r="AA89" s="37"/>
      <c r="AB89" s="37"/>
      <c r="AC89" s="37"/>
      <c r="AD89" s="37"/>
      <c r="AE89" s="6"/>
    </row>
    <row r="90" spans="4:31" s="1" customFormat="1" x14ac:dyDescent="0.25">
      <c r="D90" s="5"/>
      <c r="E90" s="2"/>
      <c r="F90" s="2"/>
      <c r="G90" s="2"/>
      <c r="H90" s="2"/>
      <c r="I90" s="2"/>
      <c r="J90" s="7"/>
      <c r="M90" s="2"/>
      <c r="N90" s="2"/>
      <c r="O90" s="7"/>
      <c r="P90" s="2"/>
      <c r="Q90" s="2"/>
      <c r="R90" s="2"/>
      <c r="S90" s="2"/>
      <c r="T90" s="2"/>
      <c r="U90" s="7"/>
      <c r="V90" s="37"/>
      <c r="W90" s="37"/>
      <c r="X90" s="37"/>
      <c r="Y90" s="37"/>
      <c r="Z90" s="37"/>
      <c r="AA90" s="37"/>
      <c r="AB90" s="37"/>
      <c r="AC90" s="37"/>
      <c r="AD90" s="37"/>
      <c r="AE90" s="6"/>
    </row>
    <row r="91" spans="4:31" s="1" customFormat="1" x14ac:dyDescent="0.25">
      <c r="D91" s="5"/>
      <c r="E91" s="2"/>
      <c r="F91" s="2"/>
      <c r="G91" s="2"/>
      <c r="H91" s="2"/>
      <c r="I91" s="2"/>
      <c r="J91" s="7"/>
      <c r="M91" s="2"/>
      <c r="N91" s="2"/>
      <c r="O91" s="7"/>
      <c r="P91" s="2"/>
      <c r="Q91" s="2"/>
      <c r="R91" s="2"/>
      <c r="S91" s="2"/>
      <c r="T91" s="2"/>
      <c r="U91" s="7"/>
      <c r="V91" s="37"/>
      <c r="W91" s="37"/>
      <c r="X91" s="37"/>
      <c r="Y91" s="37"/>
      <c r="Z91" s="37"/>
      <c r="AA91" s="37"/>
      <c r="AB91" s="37"/>
      <c r="AC91" s="37"/>
      <c r="AD91" s="37"/>
      <c r="AE91" s="6"/>
    </row>
    <row r="92" spans="4:31" s="1" customFormat="1" x14ac:dyDescent="0.25">
      <c r="D92" s="5"/>
      <c r="E92" s="2"/>
      <c r="F92" s="2"/>
      <c r="G92" s="2"/>
      <c r="H92" s="2"/>
      <c r="I92" s="2"/>
      <c r="J92" s="7"/>
      <c r="M92" s="2"/>
      <c r="N92" s="2"/>
      <c r="O92" s="7"/>
      <c r="P92" s="2"/>
      <c r="Q92" s="2"/>
      <c r="R92" s="2"/>
      <c r="S92" s="2"/>
      <c r="T92" s="2"/>
      <c r="U92" s="7"/>
      <c r="V92" s="37"/>
      <c r="W92" s="37"/>
      <c r="X92" s="37"/>
      <c r="Y92" s="37"/>
      <c r="Z92" s="37"/>
      <c r="AA92" s="37"/>
      <c r="AB92" s="37"/>
      <c r="AC92" s="37"/>
      <c r="AD92" s="37"/>
      <c r="AE92" s="6"/>
    </row>
    <row r="93" spans="4:31" s="1" customFormat="1" x14ac:dyDescent="0.25">
      <c r="D93" s="5"/>
      <c r="E93" s="2"/>
      <c r="F93" s="2"/>
      <c r="G93" s="2"/>
      <c r="H93" s="2"/>
      <c r="I93" s="2"/>
      <c r="J93" s="7"/>
      <c r="M93" s="2"/>
      <c r="N93" s="2"/>
      <c r="O93" s="7"/>
      <c r="P93" s="2"/>
      <c r="Q93" s="2"/>
      <c r="R93" s="2"/>
      <c r="S93" s="2"/>
      <c r="T93" s="2"/>
      <c r="U93" s="7"/>
      <c r="V93" s="37"/>
      <c r="W93" s="37"/>
      <c r="X93" s="37"/>
      <c r="Y93" s="37"/>
      <c r="Z93" s="37"/>
      <c r="AA93" s="37"/>
      <c r="AB93" s="37"/>
      <c r="AC93" s="37"/>
      <c r="AD93" s="37"/>
      <c r="AE93" s="6"/>
    </row>
    <row r="94" spans="4:31" s="1" customFormat="1" x14ac:dyDescent="0.25">
      <c r="D94" s="5"/>
      <c r="E94" s="2"/>
      <c r="F94" s="2"/>
      <c r="G94" s="2"/>
      <c r="H94" s="2"/>
      <c r="I94" s="2"/>
      <c r="J94" s="7"/>
      <c r="M94" s="2"/>
      <c r="N94" s="2"/>
      <c r="O94" s="7"/>
      <c r="P94" s="2"/>
      <c r="Q94" s="2"/>
      <c r="R94" s="2"/>
      <c r="S94" s="2"/>
      <c r="T94" s="2"/>
      <c r="U94" s="7"/>
      <c r="V94" s="37"/>
      <c r="W94" s="37"/>
      <c r="X94" s="37"/>
      <c r="Y94" s="37"/>
      <c r="Z94" s="37"/>
      <c r="AA94" s="37"/>
      <c r="AB94" s="37"/>
      <c r="AC94" s="37"/>
      <c r="AD94" s="37"/>
      <c r="AE94" s="6"/>
    </row>
    <row r="95" spans="4:31" s="1" customFormat="1" x14ac:dyDescent="0.25">
      <c r="D95" s="5"/>
      <c r="E95" s="2"/>
      <c r="F95" s="2"/>
      <c r="G95" s="2"/>
      <c r="H95" s="2"/>
      <c r="I95" s="2"/>
      <c r="J95" s="7"/>
      <c r="M95" s="2"/>
      <c r="N95" s="2"/>
      <c r="O95" s="7"/>
      <c r="P95" s="2"/>
      <c r="Q95" s="2"/>
      <c r="R95" s="2"/>
      <c r="S95" s="2"/>
      <c r="T95" s="2"/>
      <c r="U95" s="7"/>
      <c r="V95" s="37"/>
      <c r="W95" s="37"/>
      <c r="X95" s="37"/>
      <c r="Y95" s="37"/>
      <c r="Z95" s="37"/>
      <c r="AA95" s="37"/>
      <c r="AB95" s="37"/>
      <c r="AC95" s="37"/>
      <c r="AD95" s="37"/>
      <c r="AE95" s="6"/>
    </row>
    <row r="96" spans="4:31" s="1" customFormat="1" x14ac:dyDescent="0.25">
      <c r="D96" s="5"/>
      <c r="E96" s="2"/>
      <c r="F96" s="2"/>
      <c r="G96" s="2"/>
      <c r="H96" s="2"/>
      <c r="I96" s="2"/>
      <c r="J96" s="7"/>
      <c r="M96" s="2"/>
      <c r="N96" s="2"/>
      <c r="O96" s="7"/>
      <c r="P96" s="2"/>
      <c r="Q96" s="2"/>
      <c r="R96" s="2"/>
      <c r="S96" s="2"/>
      <c r="T96" s="2"/>
      <c r="U96" s="7"/>
      <c r="V96" s="37"/>
      <c r="W96" s="37"/>
      <c r="X96" s="37"/>
      <c r="Y96" s="37"/>
      <c r="Z96" s="37"/>
      <c r="AA96" s="37"/>
      <c r="AB96" s="37"/>
      <c r="AC96" s="37"/>
      <c r="AD96" s="37"/>
      <c r="AE96" s="6"/>
    </row>
    <row r="97" spans="4:31" s="1" customFormat="1" x14ac:dyDescent="0.25">
      <c r="D97" s="5"/>
      <c r="E97" s="2"/>
      <c r="F97" s="2"/>
      <c r="G97" s="2"/>
      <c r="H97" s="2"/>
      <c r="I97" s="2"/>
      <c r="J97" s="7"/>
      <c r="M97" s="2"/>
      <c r="N97" s="2"/>
      <c r="O97" s="7"/>
      <c r="P97" s="2"/>
      <c r="Q97" s="2"/>
      <c r="R97" s="2"/>
      <c r="S97" s="2"/>
      <c r="T97" s="2"/>
      <c r="U97" s="7"/>
      <c r="V97" s="37"/>
      <c r="W97" s="37"/>
      <c r="X97" s="37"/>
      <c r="Y97" s="37"/>
      <c r="Z97" s="37"/>
      <c r="AA97" s="37"/>
      <c r="AB97" s="37"/>
      <c r="AC97" s="37"/>
      <c r="AD97" s="37"/>
      <c r="AE97" s="6"/>
    </row>
    <row r="98" spans="4:31" s="1" customFormat="1" x14ac:dyDescent="0.25">
      <c r="D98" s="5"/>
      <c r="E98" s="2"/>
      <c r="F98" s="2"/>
      <c r="G98" s="2"/>
      <c r="H98" s="2"/>
      <c r="I98" s="2"/>
      <c r="J98" s="7"/>
      <c r="M98" s="2"/>
      <c r="N98" s="2"/>
      <c r="O98" s="7"/>
      <c r="P98" s="2"/>
      <c r="Q98" s="2"/>
      <c r="R98" s="2"/>
      <c r="S98" s="2"/>
      <c r="T98" s="2"/>
      <c r="U98" s="7"/>
      <c r="V98" s="37"/>
      <c r="W98" s="37"/>
      <c r="X98" s="37"/>
      <c r="Y98" s="37"/>
      <c r="Z98" s="37"/>
      <c r="AA98" s="37"/>
      <c r="AB98" s="37"/>
      <c r="AC98" s="37"/>
      <c r="AD98" s="37"/>
      <c r="AE98" s="6"/>
    </row>
    <row r="99" spans="4:31" s="1" customFormat="1" x14ac:dyDescent="0.25">
      <c r="D99" s="5"/>
      <c r="E99" s="2"/>
      <c r="F99" s="2"/>
      <c r="G99" s="2"/>
      <c r="H99" s="2"/>
      <c r="I99" s="2"/>
      <c r="J99" s="7"/>
      <c r="M99" s="2"/>
      <c r="N99" s="2"/>
      <c r="O99" s="7"/>
      <c r="P99" s="2"/>
      <c r="Q99" s="2"/>
      <c r="R99" s="2"/>
      <c r="S99" s="2"/>
      <c r="T99" s="2"/>
      <c r="U99" s="7"/>
      <c r="V99" s="37"/>
      <c r="W99" s="37"/>
      <c r="X99" s="37"/>
      <c r="Y99" s="37"/>
      <c r="Z99" s="37"/>
      <c r="AA99" s="37"/>
      <c r="AB99" s="37"/>
      <c r="AC99" s="37"/>
      <c r="AD99" s="37"/>
      <c r="AE99" s="6"/>
    </row>
    <row r="100" spans="4:31" s="1" customFormat="1" x14ac:dyDescent="0.25">
      <c r="D100" s="5"/>
      <c r="E100" s="2"/>
      <c r="F100" s="2"/>
      <c r="G100" s="2"/>
      <c r="H100" s="2"/>
      <c r="I100" s="2"/>
      <c r="J100" s="7"/>
      <c r="M100" s="2"/>
      <c r="N100" s="2"/>
      <c r="O100" s="7"/>
      <c r="P100" s="2"/>
      <c r="Q100" s="2"/>
      <c r="R100" s="2"/>
      <c r="S100" s="2"/>
      <c r="T100" s="2"/>
      <c r="U100" s="7"/>
      <c r="V100" s="37"/>
      <c r="W100" s="37"/>
      <c r="X100" s="37"/>
      <c r="Y100" s="37"/>
      <c r="Z100" s="37"/>
      <c r="AA100" s="37"/>
      <c r="AB100" s="37"/>
      <c r="AC100" s="37"/>
      <c r="AD100" s="37"/>
      <c r="AE100" s="6"/>
    </row>
    <row r="101" spans="4:31" s="1" customFormat="1" x14ac:dyDescent="0.25">
      <c r="D101" s="5"/>
      <c r="E101" s="2"/>
      <c r="F101" s="2"/>
      <c r="G101" s="2"/>
      <c r="H101" s="2"/>
      <c r="I101" s="2"/>
      <c r="J101" s="7"/>
      <c r="M101" s="2"/>
      <c r="N101" s="2"/>
      <c r="O101" s="7"/>
      <c r="P101" s="2"/>
      <c r="Q101" s="2"/>
      <c r="R101" s="2"/>
      <c r="S101" s="2"/>
      <c r="T101" s="2"/>
      <c r="U101" s="7"/>
      <c r="V101" s="37"/>
      <c r="W101" s="37"/>
      <c r="X101" s="37"/>
      <c r="Y101" s="37"/>
      <c r="Z101" s="37"/>
      <c r="AA101" s="37"/>
      <c r="AB101" s="37"/>
      <c r="AC101" s="37"/>
      <c r="AD101" s="37"/>
      <c r="AE101" s="6"/>
    </row>
    <row r="102" spans="4:31" s="1" customFormat="1" x14ac:dyDescent="0.25">
      <c r="D102" s="5"/>
      <c r="E102" s="2"/>
      <c r="F102" s="2"/>
      <c r="G102" s="2"/>
      <c r="H102" s="2"/>
      <c r="I102" s="2"/>
      <c r="J102" s="7"/>
      <c r="M102" s="2"/>
      <c r="N102" s="2"/>
      <c r="O102" s="7"/>
      <c r="P102" s="2"/>
      <c r="Q102" s="2"/>
      <c r="R102" s="2"/>
      <c r="S102" s="2"/>
      <c r="T102" s="2"/>
      <c r="U102" s="7"/>
      <c r="V102" s="37"/>
      <c r="W102" s="37"/>
      <c r="X102" s="37"/>
      <c r="Y102" s="37"/>
      <c r="Z102" s="37"/>
      <c r="AA102" s="37"/>
      <c r="AB102" s="37"/>
      <c r="AC102" s="37"/>
      <c r="AD102" s="37"/>
      <c r="AE102" s="6"/>
    </row>
    <row r="103" spans="4:31" s="1" customFormat="1" x14ac:dyDescent="0.25">
      <c r="D103" s="5"/>
      <c r="E103" s="2"/>
      <c r="F103" s="2"/>
      <c r="G103" s="2"/>
      <c r="H103" s="2"/>
      <c r="I103" s="2"/>
      <c r="J103" s="7"/>
      <c r="M103" s="2"/>
      <c r="N103" s="2"/>
      <c r="O103" s="7"/>
      <c r="P103" s="2"/>
      <c r="Q103" s="2"/>
      <c r="R103" s="2"/>
      <c r="S103" s="2"/>
      <c r="T103" s="2"/>
      <c r="U103" s="7"/>
      <c r="V103" s="37"/>
      <c r="W103" s="37"/>
      <c r="X103" s="37"/>
      <c r="Y103" s="37"/>
      <c r="Z103" s="37"/>
      <c r="AA103" s="37"/>
      <c r="AB103" s="37"/>
      <c r="AC103" s="37"/>
      <c r="AD103" s="37"/>
      <c r="AE103" s="6"/>
    </row>
    <row r="104" spans="4:31" s="1" customFormat="1" x14ac:dyDescent="0.25">
      <c r="D104" s="5"/>
      <c r="E104" s="2"/>
      <c r="F104" s="2"/>
      <c r="G104" s="2"/>
      <c r="H104" s="2"/>
      <c r="I104" s="2"/>
      <c r="J104" s="7"/>
      <c r="M104" s="2"/>
      <c r="N104" s="2"/>
      <c r="O104" s="7"/>
      <c r="P104" s="2"/>
      <c r="Q104" s="2"/>
      <c r="R104" s="2"/>
      <c r="S104" s="2"/>
      <c r="T104" s="2"/>
      <c r="U104" s="7"/>
      <c r="V104" s="37"/>
      <c r="W104" s="37"/>
      <c r="X104" s="37"/>
      <c r="Y104" s="37"/>
      <c r="Z104" s="37"/>
      <c r="AA104" s="37"/>
      <c r="AB104" s="37"/>
      <c r="AC104" s="37"/>
      <c r="AD104" s="37"/>
      <c r="AE104" s="6"/>
    </row>
    <row r="105" spans="4:31" s="1" customFormat="1" x14ac:dyDescent="0.25">
      <c r="D105" s="5"/>
      <c r="E105" s="2"/>
      <c r="F105" s="2"/>
      <c r="G105" s="2"/>
      <c r="H105" s="2"/>
      <c r="I105" s="2"/>
      <c r="J105" s="7"/>
      <c r="M105" s="2"/>
      <c r="N105" s="2"/>
      <c r="O105" s="7"/>
      <c r="P105" s="2"/>
      <c r="Q105" s="2"/>
      <c r="R105" s="2"/>
      <c r="S105" s="2"/>
      <c r="T105" s="2"/>
      <c r="U105" s="7"/>
      <c r="V105" s="37"/>
      <c r="W105" s="37"/>
      <c r="X105" s="37"/>
      <c r="Y105" s="37"/>
      <c r="Z105" s="37"/>
      <c r="AA105" s="37"/>
      <c r="AB105" s="37"/>
      <c r="AC105" s="37"/>
      <c r="AD105" s="37"/>
      <c r="AE105" s="6"/>
    </row>
    <row r="106" spans="4:31" s="1" customFormat="1" x14ac:dyDescent="0.25">
      <c r="D106" s="5"/>
      <c r="E106" s="2"/>
      <c r="F106" s="2"/>
      <c r="G106" s="2"/>
      <c r="H106" s="2"/>
      <c r="I106" s="2"/>
      <c r="J106" s="7"/>
      <c r="M106" s="2"/>
      <c r="N106" s="2"/>
      <c r="O106" s="7"/>
      <c r="P106" s="2"/>
      <c r="Q106" s="2"/>
      <c r="R106" s="2"/>
      <c r="S106" s="2"/>
      <c r="T106" s="2"/>
      <c r="U106" s="7"/>
      <c r="V106" s="37"/>
      <c r="W106" s="37"/>
      <c r="X106" s="37"/>
      <c r="Y106" s="37"/>
      <c r="Z106" s="37"/>
      <c r="AA106" s="37"/>
      <c r="AB106" s="37"/>
      <c r="AC106" s="37"/>
      <c r="AD106" s="37"/>
      <c r="AE106" s="6"/>
    </row>
    <row r="107" spans="4:31" s="1" customFormat="1" x14ac:dyDescent="0.25">
      <c r="D107" s="5"/>
      <c r="E107" s="2"/>
      <c r="F107" s="2"/>
      <c r="G107" s="2"/>
      <c r="H107" s="2"/>
      <c r="I107" s="2"/>
      <c r="J107" s="7"/>
      <c r="M107" s="2"/>
      <c r="N107" s="2"/>
      <c r="O107" s="7"/>
      <c r="P107" s="2"/>
      <c r="Q107" s="2"/>
      <c r="R107" s="2"/>
      <c r="S107" s="2"/>
      <c r="T107" s="2"/>
      <c r="U107" s="7"/>
      <c r="V107" s="37"/>
      <c r="W107" s="37"/>
      <c r="X107" s="37"/>
      <c r="Y107" s="37"/>
      <c r="Z107" s="37"/>
      <c r="AA107" s="37"/>
      <c r="AB107" s="37"/>
      <c r="AC107" s="37"/>
      <c r="AD107" s="37"/>
      <c r="AE107" s="6"/>
    </row>
    <row r="108" spans="4:31" s="1" customFormat="1" x14ac:dyDescent="0.25">
      <c r="D108" s="5"/>
      <c r="E108" s="2"/>
      <c r="F108" s="2"/>
      <c r="G108" s="2"/>
      <c r="H108" s="2"/>
      <c r="I108" s="2"/>
      <c r="J108" s="7"/>
      <c r="M108" s="2"/>
      <c r="N108" s="2"/>
      <c r="O108" s="7"/>
      <c r="P108" s="2"/>
      <c r="Q108" s="2"/>
      <c r="R108" s="2"/>
      <c r="S108" s="2"/>
      <c r="T108" s="2"/>
      <c r="U108" s="7"/>
      <c r="V108" s="37"/>
      <c r="W108" s="37"/>
      <c r="X108" s="37"/>
      <c r="Y108" s="37"/>
      <c r="Z108" s="37"/>
      <c r="AA108" s="37"/>
      <c r="AB108" s="37"/>
      <c r="AC108" s="37"/>
      <c r="AD108" s="37"/>
      <c r="AE108" s="6"/>
    </row>
    <row r="109" spans="4:31" s="1" customFormat="1" x14ac:dyDescent="0.25">
      <c r="D109" s="5"/>
      <c r="E109" s="2"/>
      <c r="F109" s="2"/>
      <c r="G109" s="2"/>
      <c r="H109" s="2"/>
      <c r="I109" s="2"/>
      <c r="J109" s="7"/>
      <c r="M109" s="2"/>
      <c r="N109" s="2"/>
      <c r="O109" s="7"/>
      <c r="P109" s="2"/>
      <c r="Q109" s="2"/>
      <c r="R109" s="2"/>
      <c r="S109" s="2"/>
      <c r="T109" s="2"/>
      <c r="U109" s="7"/>
      <c r="V109" s="37"/>
      <c r="W109" s="37"/>
      <c r="X109" s="37"/>
      <c r="Y109" s="37"/>
      <c r="Z109" s="37"/>
      <c r="AA109" s="37"/>
      <c r="AB109" s="37"/>
      <c r="AC109" s="37"/>
      <c r="AD109" s="37"/>
      <c r="AE109" s="6"/>
    </row>
    <row r="110" spans="4:31" s="1" customFormat="1" x14ac:dyDescent="0.25">
      <c r="D110" s="5"/>
      <c r="E110" s="2"/>
      <c r="F110" s="2"/>
      <c r="G110" s="2"/>
      <c r="H110" s="2"/>
      <c r="I110" s="2"/>
      <c r="J110" s="7"/>
      <c r="M110" s="2"/>
      <c r="N110" s="2"/>
      <c r="O110" s="7"/>
      <c r="P110" s="2"/>
      <c r="Q110" s="2"/>
      <c r="R110" s="2"/>
      <c r="S110" s="2"/>
      <c r="T110" s="2"/>
      <c r="U110" s="7"/>
      <c r="V110" s="37"/>
      <c r="W110" s="37"/>
      <c r="X110" s="37"/>
      <c r="Y110" s="37"/>
      <c r="Z110" s="37"/>
      <c r="AA110" s="37"/>
      <c r="AB110" s="37"/>
      <c r="AC110" s="37"/>
      <c r="AD110" s="37"/>
      <c r="AE110" s="6"/>
    </row>
    <row r="111" spans="4:31" s="1" customFormat="1" x14ac:dyDescent="0.25">
      <c r="D111" s="5"/>
      <c r="E111" s="2"/>
      <c r="F111" s="2"/>
      <c r="G111" s="2"/>
      <c r="H111" s="2"/>
      <c r="I111" s="2"/>
      <c r="J111" s="7"/>
      <c r="M111" s="2"/>
      <c r="N111" s="2"/>
      <c r="O111" s="7"/>
      <c r="P111" s="2"/>
      <c r="Q111" s="2"/>
      <c r="R111" s="2"/>
      <c r="S111" s="2"/>
      <c r="T111" s="2"/>
      <c r="U111" s="7"/>
      <c r="V111" s="37"/>
      <c r="W111" s="37"/>
      <c r="X111" s="37"/>
      <c r="Y111" s="37"/>
      <c r="Z111" s="37"/>
      <c r="AA111" s="37"/>
      <c r="AB111" s="37"/>
      <c r="AC111" s="37"/>
      <c r="AD111" s="37"/>
      <c r="AE111" s="6"/>
    </row>
    <row r="112" spans="4:31" s="1" customFormat="1" x14ac:dyDescent="0.25">
      <c r="D112" s="5"/>
      <c r="E112" s="2"/>
      <c r="F112" s="2"/>
      <c r="G112" s="2"/>
      <c r="H112" s="2"/>
      <c r="I112" s="2"/>
      <c r="J112" s="7"/>
      <c r="M112" s="2"/>
      <c r="N112" s="2"/>
      <c r="O112" s="7"/>
      <c r="P112" s="2"/>
      <c r="Q112" s="2"/>
      <c r="R112" s="2"/>
      <c r="S112" s="2"/>
      <c r="T112" s="2"/>
      <c r="U112" s="7"/>
      <c r="V112" s="37"/>
      <c r="W112" s="37"/>
      <c r="X112" s="37"/>
      <c r="Y112" s="37"/>
      <c r="Z112" s="37"/>
      <c r="AA112" s="37"/>
      <c r="AB112" s="37"/>
      <c r="AC112" s="37"/>
      <c r="AD112" s="37"/>
      <c r="AE112" s="6"/>
    </row>
    <row r="113" spans="4:31" s="1" customFormat="1" x14ac:dyDescent="0.25">
      <c r="D113" s="5"/>
      <c r="E113" s="2"/>
      <c r="F113" s="2"/>
      <c r="G113" s="2"/>
      <c r="H113" s="2"/>
      <c r="I113" s="2"/>
      <c r="J113" s="7"/>
      <c r="M113" s="2"/>
      <c r="N113" s="2"/>
      <c r="O113" s="7"/>
      <c r="P113" s="2"/>
      <c r="Q113" s="2"/>
      <c r="R113" s="2"/>
      <c r="S113" s="2"/>
      <c r="T113" s="2"/>
      <c r="U113" s="7"/>
      <c r="V113" s="37"/>
      <c r="W113" s="37"/>
      <c r="X113" s="37"/>
      <c r="Y113" s="37"/>
      <c r="Z113" s="37"/>
      <c r="AA113" s="37"/>
      <c r="AB113" s="37"/>
      <c r="AC113" s="37"/>
      <c r="AD113" s="37"/>
      <c r="AE113" s="6"/>
    </row>
    <row r="114" spans="4:31" s="1" customFormat="1" x14ac:dyDescent="0.25">
      <c r="D114" s="5"/>
      <c r="E114" s="2"/>
      <c r="F114" s="2"/>
      <c r="G114" s="2"/>
      <c r="H114" s="2"/>
      <c r="I114" s="2"/>
      <c r="J114" s="7"/>
      <c r="M114" s="2"/>
      <c r="N114" s="2"/>
      <c r="O114" s="7"/>
      <c r="P114" s="2"/>
      <c r="Q114" s="2"/>
      <c r="R114" s="2"/>
      <c r="S114" s="2"/>
      <c r="T114" s="2"/>
      <c r="U114" s="7"/>
      <c r="V114" s="37"/>
      <c r="W114" s="37"/>
      <c r="X114" s="37"/>
      <c r="Y114" s="37"/>
      <c r="Z114" s="37"/>
      <c r="AA114" s="37"/>
      <c r="AB114" s="37"/>
      <c r="AC114" s="37"/>
      <c r="AD114" s="37"/>
      <c r="AE114" s="6"/>
    </row>
    <row r="115" spans="4:31" s="1" customFormat="1" x14ac:dyDescent="0.25">
      <c r="D115" s="5"/>
      <c r="E115" s="2"/>
      <c r="F115" s="2"/>
      <c r="G115" s="2"/>
      <c r="H115" s="2"/>
      <c r="I115" s="2"/>
      <c r="J115" s="7"/>
      <c r="M115" s="2"/>
      <c r="N115" s="2"/>
      <c r="O115" s="7"/>
      <c r="P115" s="2"/>
      <c r="Q115" s="2"/>
      <c r="R115" s="2"/>
      <c r="S115" s="2"/>
      <c r="T115" s="2"/>
      <c r="U115" s="7"/>
      <c r="V115" s="37"/>
      <c r="W115" s="37"/>
      <c r="X115" s="37"/>
      <c r="Y115" s="37"/>
      <c r="Z115" s="37"/>
      <c r="AA115" s="37"/>
      <c r="AB115" s="37"/>
      <c r="AC115" s="37"/>
      <c r="AD115" s="37"/>
      <c r="AE115" s="6"/>
    </row>
    <row r="116" spans="4:31" s="1" customFormat="1" x14ac:dyDescent="0.25">
      <c r="D116" s="5"/>
      <c r="E116" s="2"/>
      <c r="F116" s="2"/>
      <c r="G116" s="2"/>
      <c r="H116" s="2"/>
      <c r="I116" s="2"/>
      <c r="J116" s="7"/>
      <c r="M116" s="2"/>
      <c r="N116" s="2"/>
      <c r="O116" s="7"/>
      <c r="P116" s="2"/>
      <c r="Q116" s="2"/>
      <c r="R116" s="2"/>
      <c r="S116" s="2"/>
      <c r="T116" s="2"/>
      <c r="U116" s="7"/>
      <c r="V116" s="37"/>
      <c r="W116" s="37"/>
      <c r="X116" s="37"/>
      <c r="Y116" s="37"/>
      <c r="Z116" s="37"/>
      <c r="AA116" s="37"/>
      <c r="AB116" s="37"/>
      <c r="AC116" s="37"/>
      <c r="AD116" s="37"/>
      <c r="AE116" s="6"/>
    </row>
    <row r="117" spans="4:31" s="1" customFormat="1" x14ac:dyDescent="0.25">
      <c r="D117" s="5"/>
      <c r="E117" s="2"/>
      <c r="F117" s="2"/>
      <c r="G117" s="2"/>
      <c r="H117" s="2"/>
      <c r="I117" s="2"/>
      <c r="J117" s="7"/>
      <c r="M117" s="2"/>
      <c r="N117" s="2"/>
      <c r="O117" s="7"/>
      <c r="P117" s="2"/>
      <c r="Q117" s="2"/>
      <c r="R117" s="2"/>
      <c r="S117" s="2"/>
      <c r="T117" s="2"/>
      <c r="U117" s="7"/>
      <c r="V117" s="37"/>
      <c r="W117" s="37"/>
      <c r="X117" s="37"/>
      <c r="Y117" s="37"/>
      <c r="Z117" s="37"/>
      <c r="AA117" s="37"/>
      <c r="AB117" s="37"/>
      <c r="AC117" s="37"/>
      <c r="AD117" s="37"/>
      <c r="AE117" s="6"/>
    </row>
    <row r="118" spans="4:31" s="1" customFormat="1" x14ac:dyDescent="0.25">
      <c r="D118" s="5"/>
      <c r="E118" s="2"/>
      <c r="F118" s="2"/>
      <c r="G118" s="2"/>
      <c r="H118" s="2"/>
      <c r="I118" s="2"/>
      <c r="J118" s="7"/>
      <c r="M118" s="2"/>
      <c r="N118" s="2"/>
      <c r="O118" s="7"/>
      <c r="P118" s="2"/>
      <c r="Q118" s="2"/>
      <c r="R118" s="2"/>
      <c r="S118" s="2"/>
      <c r="T118" s="2"/>
      <c r="U118" s="7"/>
      <c r="V118" s="37"/>
      <c r="W118" s="37"/>
      <c r="X118" s="37"/>
      <c r="Y118" s="37"/>
      <c r="Z118" s="37"/>
      <c r="AA118" s="37"/>
      <c r="AB118" s="37"/>
      <c r="AC118" s="37"/>
      <c r="AD118" s="37"/>
      <c r="AE118" s="6"/>
    </row>
    <row r="119" spans="4:31" s="1" customFormat="1" x14ac:dyDescent="0.25">
      <c r="D119" s="5"/>
      <c r="E119" s="2"/>
      <c r="F119" s="2"/>
      <c r="G119" s="2"/>
      <c r="H119" s="2"/>
      <c r="I119" s="2"/>
      <c r="J119" s="7"/>
      <c r="M119" s="2"/>
      <c r="N119" s="2"/>
      <c r="O119" s="7"/>
      <c r="P119" s="2"/>
      <c r="Q119" s="2"/>
      <c r="R119" s="2"/>
      <c r="S119" s="2"/>
      <c r="T119" s="2"/>
      <c r="U119" s="7"/>
      <c r="V119" s="37"/>
      <c r="W119" s="37"/>
      <c r="X119" s="37"/>
      <c r="Y119" s="37"/>
      <c r="Z119" s="37"/>
      <c r="AA119" s="37"/>
      <c r="AB119" s="37"/>
      <c r="AC119" s="37"/>
      <c r="AD119" s="37"/>
      <c r="AE119" s="6"/>
    </row>
    <row r="120" spans="4:31" s="1" customFormat="1" x14ac:dyDescent="0.25">
      <c r="D120" s="5"/>
      <c r="E120" s="2"/>
      <c r="F120" s="2"/>
      <c r="G120" s="2"/>
      <c r="H120" s="2"/>
      <c r="I120" s="2"/>
      <c r="J120" s="7"/>
      <c r="M120" s="2"/>
      <c r="N120" s="2"/>
      <c r="O120" s="7"/>
      <c r="P120" s="2"/>
      <c r="Q120" s="2"/>
      <c r="R120" s="2"/>
      <c r="S120" s="2"/>
      <c r="T120" s="2"/>
      <c r="U120" s="7"/>
      <c r="V120" s="37"/>
      <c r="W120" s="37"/>
      <c r="X120" s="37"/>
      <c r="Y120" s="37"/>
      <c r="Z120" s="37"/>
      <c r="AA120" s="37"/>
      <c r="AB120" s="37"/>
      <c r="AC120" s="37"/>
      <c r="AD120" s="37"/>
      <c r="AE120" s="6"/>
    </row>
    <row r="121" spans="4:31" s="1" customFormat="1" x14ac:dyDescent="0.25">
      <c r="D121" s="5"/>
      <c r="E121" s="2"/>
      <c r="F121" s="2"/>
      <c r="G121" s="2"/>
      <c r="H121" s="2"/>
      <c r="I121" s="2"/>
      <c r="J121" s="7"/>
      <c r="M121" s="2"/>
      <c r="N121" s="2"/>
      <c r="O121" s="7"/>
      <c r="P121" s="2"/>
      <c r="Q121" s="2"/>
      <c r="R121" s="2"/>
      <c r="S121" s="2"/>
      <c r="T121" s="2"/>
      <c r="U121" s="7"/>
      <c r="V121" s="37"/>
      <c r="W121" s="37"/>
      <c r="X121" s="37"/>
      <c r="Y121" s="37"/>
      <c r="Z121" s="37"/>
      <c r="AA121" s="37"/>
      <c r="AB121" s="37"/>
      <c r="AC121" s="37"/>
      <c r="AD121" s="37"/>
      <c r="AE121" s="6"/>
    </row>
    <row r="122" spans="4:31" s="1" customFormat="1" x14ac:dyDescent="0.25">
      <c r="D122" s="5"/>
      <c r="E122" s="2"/>
      <c r="F122" s="2"/>
      <c r="G122" s="2"/>
      <c r="H122" s="2"/>
      <c r="I122" s="2"/>
      <c r="J122" s="7"/>
      <c r="M122" s="2"/>
      <c r="N122" s="2"/>
      <c r="O122" s="7"/>
      <c r="P122" s="2"/>
      <c r="Q122" s="2"/>
      <c r="R122" s="2"/>
      <c r="S122" s="2"/>
      <c r="T122" s="2"/>
      <c r="U122" s="7"/>
      <c r="V122" s="37"/>
      <c r="W122" s="37"/>
      <c r="X122" s="37"/>
      <c r="Y122" s="37"/>
      <c r="Z122" s="37"/>
      <c r="AA122" s="37"/>
      <c r="AB122" s="37"/>
      <c r="AC122" s="37"/>
      <c r="AD122" s="37"/>
      <c r="AE122" s="6"/>
    </row>
    <row r="123" spans="4:31" s="1" customFormat="1" x14ac:dyDescent="0.25">
      <c r="D123" s="5"/>
      <c r="E123" s="2"/>
      <c r="F123" s="2"/>
      <c r="G123" s="2"/>
      <c r="H123" s="2"/>
      <c r="I123" s="2"/>
      <c r="J123" s="7"/>
      <c r="M123" s="2"/>
      <c r="N123" s="2"/>
      <c r="O123" s="7"/>
      <c r="P123" s="2"/>
      <c r="Q123" s="2"/>
      <c r="R123" s="2"/>
      <c r="S123" s="2"/>
      <c r="T123" s="2"/>
      <c r="U123" s="7"/>
      <c r="V123" s="37"/>
      <c r="W123" s="37"/>
      <c r="X123" s="37"/>
      <c r="Y123" s="37"/>
      <c r="Z123" s="37"/>
      <c r="AA123" s="37"/>
      <c r="AB123" s="37"/>
      <c r="AC123" s="37"/>
      <c r="AD123" s="37"/>
      <c r="AE123" s="6"/>
    </row>
    <row r="124" spans="4:31" s="1" customFormat="1" x14ac:dyDescent="0.25">
      <c r="D124" s="5"/>
      <c r="E124" s="2"/>
      <c r="F124" s="2"/>
      <c r="G124" s="2"/>
      <c r="H124" s="2"/>
      <c r="I124" s="2"/>
      <c r="J124" s="7"/>
      <c r="M124" s="2"/>
      <c r="N124" s="2"/>
      <c r="O124" s="7"/>
      <c r="P124" s="2"/>
      <c r="Q124" s="2"/>
      <c r="R124" s="2"/>
      <c r="S124" s="2"/>
      <c r="T124" s="2"/>
      <c r="U124" s="7"/>
      <c r="V124" s="37"/>
      <c r="W124" s="37"/>
      <c r="X124" s="37"/>
      <c r="Y124" s="37"/>
      <c r="Z124" s="37"/>
      <c r="AA124" s="37"/>
      <c r="AB124" s="37"/>
      <c r="AC124" s="37"/>
      <c r="AD124" s="37"/>
      <c r="AE124" s="6"/>
    </row>
    <row r="125" spans="4:31" s="1" customFormat="1" x14ac:dyDescent="0.25">
      <c r="D125" s="5"/>
      <c r="E125" s="2"/>
      <c r="F125" s="2"/>
      <c r="G125" s="2"/>
      <c r="H125" s="2"/>
      <c r="I125" s="2"/>
      <c r="J125" s="7"/>
      <c r="M125" s="2"/>
      <c r="N125" s="2"/>
      <c r="O125" s="7"/>
      <c r="P125" s="2"/>
      <c r="Q125" s="2"/>
      <c r="R125" s="2"/>
      <c r="S125" s="2"/>
      <c r="T125" s="2"/>
      <c r="U125" s="7"/>
      <c r="V125" s="37"/>
      <c r="W125" s="37"/>
      <c r="X125" s="37"/>
      <c r="Y125" s="37"/>
      <c r="Z125" s="37"/>
      <c r="AA125" s="37"/>
      <c r="AB125" s="37"/>
      <c r="AC125" s="37"/>
      <c r="AD125" s="37"/>
      <c r="AE125" s="6"/>
    </row>
    <row r="126" spans="4:31" s="1" customFormat="1" x14ac:dyDescent="0.25">
      <c r="D126" s="5"/>
      <c r="E126" s="2"/>
      <c r="F126" s="2"/>
      <c r="G126" s="2"/>
      <c r="H126" s="2"/>
      <c r="I126" s="2"/>
      <c r="J126" s="7"/>
      <c r="M126" s="2"/>
      <c r="N126" s="2"/>
      <c r="O126" s="7"/>
      <c r="P126" s="2"/>
      <c r="Q126" s="2"/>
      <c r="R126" s="2"/>
      <c r="S126" s="2"/>
      <c r="T126" s="2"/>
      <c r="U126" s="7"/>
      <c r="V126" s="37"/>
      <c r="W126" s="37"/>
      <c r="X126" s="37"/>
      <c r="Y126" s="37"/>
      <c r="Z126" s="37"/>
      <c r="AA126" s="37"/>
      <c r="AB126" s="37"/>
      <c r="AC126" s="37"/>
      <c r="AD126" s="37"/>
      <c r="AE126" s="6"/>
    </row>
    <row r="127" spans="4:31" s="1" customFormat="1" x14ac:dyDescent="0.25">
      <c r="D127" s="5"/>
      <c r="E127" s="2"/>
      <c r="F127" s="2"/>
      <c r="G127" s="2"/>
      <c r="H127" s="2"/>
      <c r="I127" s="2"/>
      <c r="J127" s="7"/>
      <c r="M127" s="2"/>
      <c r="N127" s="2"/>
      <c r="O127" s="7"/>
      <c r="P127" s="2"/>
      <c r="Q127" s="2"/>
      <c r="R127" s="2"/>
      <c r="S127" s="2"/>
      <c r="T127" s="2"/>
      <c r="U127" s="7"/>
      <c r="V127" s="37"/>
      <c r="W127" s="37"/>
      <c r="X127" s="37"/>
      <c r="Y127" s="37"/>
      <c r="Z127" s="37"/>
      <c r="AA127" s="37"/>
      <c r="AB127" s="37"/>
      <c r="AC127" s="37"/>
      <c r="AD127" s="37"/>
      <c r="AE127" s="6"/>
    </row>
    <row r="128" spans="4:31" s="1" customFormat="1" x14ac:dyDescent="0.25">
      <c r="D128" s="5"/>
      <c r="E128" s="2"/>
      <c r="F128" s="2"/>
      <c r="G128" s="2"/>
      <c r="H128" s="2"/>
      <c r="I128" s="2"/>
      <c r="J128" s="7"/>
      <c r="M128" s="2"/>
      <c r="N128" s="2"/>
      <c r="O128" s="7"/>
      <c r="P128" s="2"/>
      <c r="Q128" s="2"/>
      <c r="R128" s="2"/>
      <c r="S128" s="2"/>
      <c r="T128" s="2"/>
      <c r="U128" s="7"/>
      <c r="V128" s="37"/>
      <c r="W128" s="37"/>
      <c r="X128" s="37"/>
      <c r="Y128" s="37"/>
      <c r="Z128" s="37"/>
      <c r="AA128" s="37"/>
      <c r="AB128" s="37"/>
      <c r="AC128" s="37"/>
      <c r="AD128" s="37"/>
      <c r="AE128" s="6"/>
    </row>
    <row r="129" spans="4:31" s="1" customFormat="1" x14ac:dyDescent="0.25">
      <c r="D129" s="5"/>
      <c r="E129" s="2"/>
      <c r="F129" s="2"/>
      <c r="G129" s="2"/>
      <c r="H129" s="2"/>
      <c r="I129" s="2"/>
      <c r="J129" s="7"/>
      <c r="M129" s="2"/>
      <c r="N129" s="2"/>
      <c r="O129" s="7"/>
      <c r="P129" s="2"/>
      <c r="Q129" s="2"/>
      <c r="R129" s="2"/>
      <c r="S129" s="2"/>
      <c r="T129" s="2"/>
      <c r="U129" s="7"/>
      <c r="V129" s="37"/>
      <c r="W129" s="37"/>
      <c r="X129" s="37"/>
      <c r="Y129" s="37"/>
      <c r="Z129" s="37"/>
      <c r="AA129" s="37"/>
      <c r="AB129" s="37"/>
      <c r="AC129" s="37"/>
      <c r="AD129" s="37"/>
      <c r="AE129" s="6"/>
    </row>
    <row r="130" spans="4:31" s="1" customFormat="1" x14ac:dyDescent="0.25">
      <c r="D130" s="5"/>
      <c r="E130" s="2"/>
      <c r="F130" s="2"/>
      <c r="G130" s="2"/>
      <c r="H130" s="2"/>
      <c r="I130" s="2"/>
      <c r="J130" s="7"/>
      <c r="M130" s="2"/>
      <c r="N130" s="2"/>
      <c r="O130" s="7"/>
      <c r="P130" s="2"/>
      <c r="Q130" s="2"/>
      <c r="R130" s="2"/>
      <c r="S130" s="2"/>
      <c r="T130" s="2"/>
      <c r="U130" s="7"/>
      <c r="V130" s="37"/>
      <c r="W130" s="37"/>
      <c r="X130" s="37"/>
      <c r="Y130" s="37"/>
      <c r="Z130" s="37"/>
      <c r="AA130" s="37"/>
      <c r="AB130" s="37"/>
      <c r="AC130" s="37"/>
      <c r="AD130" s="37"/>
      <c r="AE130" s="6"/>
    </row>
    <row r="131" spans="4:31" s="1" customFormat="1" x14ac:dyDescent="0.25">
      <c r="D131" s="5"/>
      <c r="E131" s="2"/>
      <c r="F131" s="2"/>
      <c r="G131" s="2"/>
      <c r="H131" s="2"/>
      <c r="I131" s="2"/>
      <c r="J131" s="7"/>
      <c r="M131" s="2"/>
      <c r="N131" s="2"/>
      <c r="O131" s="7"/>
      <c r="P131" s="2"/>
      <c r="Q131" s="2"/>
      <c r="R131" s="2"/>
      <c r="S131" s="2"/>
      <c r="T131" s="2"/>
      <c r="U131" s="7"/>
      <c r="V131" s="37"/>
      <c r="W131" s="37"/>
      <c r="X131" s="37"/>
      <c r="Y131" s="37"/>
      <c r="Z131" s="37"/>
      <c r="AA131" s="37"/>
      <c r="AB131" s="37"/>
      <c r="AC131" s="37"/>
      <c r="AD131" s="37"/>
      <c r="AE131" s="6"/>
    </row>
    <row r="132" spans="4:31" s="1" customFormat="1" x14ac:dyDescent="0.25">
      <c r="D132" s="5"/>
      <c r="E132" s="2"/>
      <c r="F132" s="2"/>
      <c r="G132" s="2"/>
      <c r="H132" s="2"/>
      <c r="I132" s="2"/>
      <c r="J132" s="7"/>
      <c r="M132" s="2"/>
      <c r="N132" s="2"/>
      <c r="O132" s="7"/>
      <c r="P132" s="2"/>
      <c r="Q132" s="2"/>
      <c r="R132" s="2"/>
      <c r="S132" s="2"/>
      <c r="T132" s="2"/>
      <c r="U132" s="7"/>
      <c r="V132" s="37"/>
      <c r="W132" s="37"/>
      <c r="X132" s="37"/>
      <c r="Y132" s="37"/>
      <c r="Z132" s="37"/>
      <c r="AA132" s="37"/>
      <c r="AB132" s="37"/>
      <c r="AC132" s="37"/>
      <c r="AD132" s="37"/>
      <c r="AE132" s="6"/>
    </row>
    <row r="133" spans="4:31" s="1" customFormat="1" x14ac:dyDescent="0.25">
      <c r="D133" s="5"/>
      <c r="E133" s="2"/>
      <c r="F133" s="2"/>
      <c r="G133" s="2"/>
      <c r="H133" s="2"/>
      <c r="I133" s="2"/>
      <c r="J133" s="7"/>
      <c r="M133" s="2"/>
      <c r="N133" s="2"/>
      <c r="O133" s="7"/>
      <c r="P133" s="2"/>
      <c r="Q133" s="2"/>
      <c r="R133" s="2"/>
      <c r="S133" s="2"/>
      <c r="T133" s="2"/>
      <c r="U133" s="7"/>
      <c r="V133" s="37"/>
      <c r="W133" s="37"/>
      <c r="X133" s="37"/>
      <c r="Y133" s="37"/>
      <c r="Z133" s="37"/>
      <c r="AA133" s="37"/>
      <c r="AB133" s="37"/>
      <c r="AC133" s="37"/>
      <c r="AD133" s="37"/>
      <c r="AE133" s="6"/>
    </row>
    <row r="134" spans="4:31" s="1" customFormat="1" x14ac:dyDescent="0.25">
      <c r="D134" s="5"/>
      <c r="E134" s="2"/>
      <c r="F134" s="2"/>
      <c r="G134" s="2"/>
      <c r="H134" s="2"/>
      <c r="I134" s="2"/>
      <c r="J134" s="7"/>
      <c r="M134" s="2"/>
      <c r="N134" s="2"/>
      <c r="O134" s="7"/>
      <c r="P134" s="2"/>
      <c r="Q134" s="2"/>
      <c r="R134" s="2"/>
      <c r="S134" s="2"/>
      <c r="T134" s="2"/>
      <c r="U134" s="7"/>
      <c r="V134" s="37"/>
      <c r="W134" s="37"/>
      <c r="X134" s="37"/>
      <c r="Y134" s="37"/>
      <c r="Z134" s="37"/>
      <c r="AA134" s="37"/>
      <c r="AB134" s="37"/>
      <c r="AC134" s="37"/>
      <c r="AD134" s="37"/>
      <c r="AE134" s="6"/>
    </row>
    <row r="135" spans="4:31" s="1" customFormat="1" x14ac:dyDescent="0.25">
      <c r="D135" s="5"/>
      <c r="E135" s="2"/>
      <c r="F135" s="2"/>
      <c r="G135" s="2"/>
      <c r="H135" s="2"/>
      <c r="I135" s="2"/>
      <c r="J135" s="7"/>
      <c r="M135" s="2"/>
      <c r="N135" s="2"/>
      <c r="O135" s="7"/>
      <c r="P135" s="2"/>
      <c r="Q135" s="2"/>
      <c r="R135" s="2"/>
      <c r="S135" s="2"/>
      <c r="T135" s="2"/>
      <c r="U135" s="7"/>
      <c r="V135" s="37"/>
      <c r="W135" s="37"/>
      <c r="X135" s="37"/>
      <c r="Y135" s="37"/>
      <c r="Z135" s="37"/>
      <c r="AA135" s="37"/>
      <c r="AB135" s="37"/>
      <c r="AC135" s="37"/>
      <c r="AD135" s="37"/>
      <c r="AE135" s="6"/>
    </row>
    <row r="136" spans="4:31" s="1" customFormat="1" x14ac:dyDescent="0.25">
      <c r="D136" s="5"/>
      <c r="E136" s="2"/>
      <c r="F136" s="2"/>
      <c r="G136" s="2"/>
      <c r="H136" s="2"/>
      <c r="I136" s="2"/>
      <c r="J136" s="7"/>
      <c r="M136" s="2"/>
      <c r="N136" s="2"/>
      <c r="O136" s="7"/>
      <c r="P136" s="2"/>
      <c r="Q136" s="2"/>
      <c r="R136" s="2"/>
      <c r="S136" s="2"/>
      <c r="T136" s="2"/>
      <c r="U136" s="7"/>
      <c r="V136" s="37"/>
      <c r="W136" s="37"/>
      <c r="X136" s="37"/>
      <c r="Y136" s="37"/>
      <c r="Z136" s="37"/>
      <c r="AA136" s="37"/>
      <c r="AB136" s="37"/>
      <c r="AC136" s="37"/>
      <c r="AD136" s="37"/>
      <c r="AE136" s="6"/>
    </row>
    <row r="137" spans="4:31" s="1" customFormat="1" x14ac:dyDescent="0.25">
      <c r="D137" s="5"/>
      <c r="E137" s="2"/>
      <c r="F137" s="2"/>
      <c r="G137" s="2"/>
      <c r="H137" s="2"/>
      <c r="I137" s="2"/>
      <c r="J137" s="7"/>
      <c r="M137" s="2"/>
      <c r="N137" s="2"/>
      <c r="O137" s="7"/>
      <c r="P137" s="2"/>
      <c r="Q137" s="2"/>
      <c r="R137" s="2"/>
      <c r="S137" s="2"/>
      <c r="T137" s="2"/>
      <c r="U137" s="7"/>
      <c r="V137" s="37"/>
      <c r="W137" s="37"/>
      <c r="X137" s="37"/>
      <c r="Y137" s="37"/>
      <c r="Z137" s="37"/>
      <c r="AA137" s="37"/>
      <c r="AB137" s="37"/>
      <c r="AC137" s="37"/>
      <c r="AD137" s="37"/>
      <c r="AE137" s="6"/>
    </row>
    <row r="138" spans="4:31" s="1" customFormat="1" x14ac:dyDescent="0.25">
      <c r="D138" s="5"/>
      <c r="E138" s="2"/>
      <c r="F138" s="2"/>
      <c r="G138" s="2"/>
      <c r="H138" s="2"/>
      <c r="I138" s="2"/>
      <c r="J138" s="7"/>
      <c r="M138" s="2"/>
      <c r="N138" s="2"/>
      <c r="O138" s="7"/>
      <c r="P138" s="2"/>
      <c r="Q138" s="2"/>
      <c r="R138" s="2"/>
      <c r="S138" s="2"/>
      <c r="T138" s="2"/>
      <c r="U138" s="7"/>
      <c r="V138" s="37"/>
      <c r="W138" s="37"/>
      <c r="X138" s="37"/>
      <c r="Y138" s="37"/>
      <c r="Z138" s="37"/>
      <c r="AA138" s="37"/>
      <c r="AB138" s="37"/>
      <c r="AC138" s="37"/>
      <c r="AD138" s="37"/>
      <c r="AE138" s="6"/>
    </row>
    <row r="139" spans="4:31" s="1" customFormat="1" x14ac:dyDescent="0.25">
      <c r="D139" s="5"/>
      <c r="E139" s="2"/>
      <c r="F139" s="2"/>
      <c r="G139" s="2"/>
      <c r="H139" s="2"/>
      <c r="I139" s="2"/>
      <c r="J139" s="7"/>
      <c r="M139" s="2"/>
      <c r="N139" s="2"/>
      <c r="O139" s="7"/>
      <c r="P139" s="2"/>
      <c r="Q139" s="2"/>
      <c r="R139" s="2"/>
      <c r="S139" s="2"/>
      <c r="T139" s="2"/>
      <c r="U139" s="7"/>
      <c r="V139" s="37"/>
      <c r="W139" s="37"/>
      <c r="X139" s="37"/>
      <c r="Y139" s="37"/>
      <c r="Z139" s="37"/>
      <c r="AA139" s="37"/>
      <c r="AB139" s="37"/>
      <c r="AC139" s="37"/>
      <c r="AD139" s="37"/>
      <c r="AE139" s="6"/>
    </row>
    <row r="140" spans="4:31" s="1" customFormat="1" x14ac:dyDescent="0.25">
      <c r="D140" s="5"/>
      <c r="E140" s="2"/>
      <c r="F140" s="2"/>
      <c r="G140" s="2"/>
      <c r="H140" s="2"/>
      <c r="I140" s="2"/>
      <c r="J140" s="7"/>
      <c r="M140" s="2"/>
      <c r="N140" s="2"/>
      <c r="O140" s="7"/>
      <c r="P140" s="2"/>
      <c r="Q140" s="2"/>
      <c r="R140" s="2"/>
      <c r="S140" s="2"/>
      <c r="T140" s="2"/>
      <c r="U140" s="7"/>
      <c r="V140" s="37"/>
      <c r="W140" s="37"/>
      <c r="X140" s="37"/>
      <c r="Y140" s="37"/>
      <c r="Z140" s="37"/>
      <c r="AA140" s="37"/>
      <c r="AB140" s="37"/>
      <c r="AC140" s="37"/>
      <c r="AD140" s="37"/>
      <c r="AE140" s="6"/>
    </row>
    <row r="141" spans="4:31" s="1" customFormat="1" x14ac:dyDescent="0.25">
      <c r="D141" s="5"/>
      <c r="E141" s="2"/>
      <c r="F141" s="2"/>
      <c r="G141" s="2"/>
      <c r="H141" s="2"/>
      <c r="I141" s="2"/>
      <c r="J141" s="7"/>
      <c r="M141" s="2"/>
      <c r="N141" s="2"/>
      <c r="O141" s="7"/>
      <c r="P141" s="2"/>
      <c r="Q141" s="2"/>
      <c r="R141" s="2"/>
      <c r="S141" s="2"/>
      <c r="T141" s="2"/>
      <c r="U141" s="7"/>
      <c r="V141" s="37"/>
      <c r="W141" s="37"/>
      <c r="X141" s="37"/>
      <c r="Y141" s="37"/>
      <c r="Z141" s="37"/>
      <c r="AA141" s="37"/>
      <c r="AB141" s="37"/>
      <c r="AC141" s="37"/>
      <c r="AD141" s="37"/>
      <c r="AE141" s="6"/>
    </row>
    <row r="142" spans="4:31" s="1" customFormat="1" x14ac:dyDescent="0.25">
      <c r="D142" s="5"/>
      <c r="E142" s="2"/>
      <c r="F142" s="2"/>
      <c r="G142" s="2"/>
      <c r="H142" s="2"/>
      <c r="I142" s="2"/>
      <c r="J142" s="7"/>
      <c r="M142" s="2"/>
      <c r="N142" s="2"/>
      <c r="O142" s="7"/>
      <c r="P142" s="2"/>
      <c r="Q142" s="2"/>
      <c r="R142" s="2"/>
      <c r="S142" s="2"/>
      <c r="T142" s="2"/>
      <c r="U142" s="7"/>
      <c r="V142" s="37"/>
      <c r="W142" s="37"/>
      <c r="X142" s="37"/>
      <c r="Y142" s="37"/>
      <c r="Z142" s="37"/>
      <c r="AA142" s="37"/>
      <c r="AB142" s="37"/>
      <c r="AC142" s="37"/>
      <c r="AD142" s="37"/>
      <c r="AE142" s="6"/>
    </row>
    <row r="143" spans="4:31" s="1" customFormat="1" x14ac:dyDescent="0.25">
      <c r="D143" s="5"/>
      <c r="E143" s="2"/>
      <c r="F143" s="2"/>
      <c r="G143" s="2"/>
      <c r="H143" s="2"/>
      <c r="I143" s="2"/>
      <c r="J143" s="7"/>
      <c r="M143" s="2"/>
      <c r="N143" s="2"/>
      <c r="O143" s="7"/>
      <c r="P143" s="2"/>
      <c r="Q143" s="2"/>
      <c r="R143" s="2"/>
      <c r="S143" s="2"/>
      <c r="T143" s="2"/>
      <c r="U143" s="7"/>
      <c r="V143" s="37"/>
      <c r="W143" s="37"/>
      <c r="X143" s="37"/>
      <c r="Y143" s="37"/>
      <c r="Z143" s="37"/>
      <c r="AA143" s="37"/>
      <c r="AB143" s="37"/>
      <c r="AC143" s="37"/>
      <c r="AD143" s="37"/>
      <c r="AE143" s="6"/>
    </row>
    <row r="144" spans="4:31" s="1" customFormat="1" x14ac:dyDescent="0.25">
      <c r="D144" s="5"/>
      <c r="E144" s="2"/>
      <c r="F144" s="2"/>
      <c r="G144" s="2"/>
      <c r="H144" s="2"/>
      <c r="I144" s="2"/>
      <c r="J144" s="7"/>
      <c r="M144" s="2"/>
      <c r="N144" s="2"/>
      <c r="O144" s="7"/>
      <c r="P144" s="2"/>
      <c r="Q144" s="2"/>
      <c r="R144" s="2"/>
      <c r="S144" s="2"/>
      <c r="T144" s="2"/>
      <c r="U144" s="7"/>
      <c r="V144" s="37"/>
      <c r="W144" s="37"/>
      <c r="X144" s="37"/>
      <c r="Y144" s="37"/>
      <c r="Z144" s="37"/>
      <c r="AA144" s="37"/>
      <c r="AB144" s="37"/>
      <c r="AC144" s="37"/>
      <c r="AD144" s="37"/>
      <c r="AE144" s="6"/>
    </row>
    <row r="145" spans="4:31" s="1" customFormat="1" x14ac:dyDescent="0.25">
      <c r="D145" s="5"/>
      <c r="E145" s="2"/>
      <c r="F145" s="2"/>
      <c r="G145" s="2"/>
      <c r="H145" s="2"/>
      <c r="I145" s="2"/>
      <c r="J145" s="7"/>
      <c r="M145" s="2"/>
      <c r="N145" s="2"/>
      <c r="O145" s="7"/>
      <c r="P145" s="2"/>
      <c r="Q145" s="2"/>
      <c r="R145" s="2"/>
      <c r="S145" s="2"/>
      <c r="T145" s="2"/>
      <c r="U145" s="7"/>
      <c r="V145" s="37"/>
      <c r="W145" s="37"/>
      <c r="X145" s="37"/>
      <c r="Y145" s="37"/>
      <c r="Z145" s="37"/>
      <c r="AA145" s="37"/>
      <c r="AB145" s="37"/>
      <c r="AC145" s="37"/>
      <c r="AD145" s="37"/>
      <c r="AE145" s="6"/>
    </row>
    <row r="146" spans="4:31" s="1" customFormat="1" x14ac:dyDescent="0.25">
      <c r="D146" s="5"/>
      <c r="E146" s="2"/>
      <c r="F146" s="2"/>
      <c r="G146" s="2"/>
      <c r="H146" s="2"/>
      <c r="I146" s="2"/>
      <c r="J146" s="7"/>
      <c r="M146" s="2"/>
      <c r="N146" s="2"/>
      <c r="O146" s="7"/>
      <c r="P146" s="2"/>
      <c r="Q146" s="2"/>
      <c r="R146" s="2"/>
      <c r="S146" s="2"/>
      <c r="T146" s="2"/>
      <c r="U146" s="7"/>
      <c r="V146" s="37"/>
      <c r="W146" s="37"/>
      <c r="X146" s="37"/>
      <c r="Y146" s="37"/>
      <c r="Z146" s="37"/>
      <c r="AA146" s="37"/>
      <c r="AB146" s="37"/>
      <c r="AC146" s="37"/>
      <c r="AD146" s="37"/>
      <c r="AE146" s="6"/>
    </row>
    <row r="147" spans="4:31" s="1" customFormat="1" x14ac:dyDescent="0.25">
      <c r="D147" s="5"/>
      <c r="E147" s="2"/>
      <c r="F147" s="2"/>
      <c r="G147" s="2"/>
      <c r="H147" s="2"/>
      <c r="I147" s="2"/>
      <c r="J147" s="7"/>
      <c r="M147" s="2"/>
      <c r="N147" s="2"/>
      <c r="O147" s="7"/>
      <c r="P147" s="2"/>
      <c r="Q147" s="2"/>
      <c r="R147" s="2"/>
      <c r="S147" s="2"/>
      <c r="T147" s="2"/>
      <c r="U147" s="7"/>
      <c r="V147" s="37"/>
      <c r="W147" s="37"/>
      <c r="X147" s="37"/>
      <c r="Y147" s="37"/>
      <c r="Z147" s="37"/>
      <c r="AA147" s="37"/>
      <c r="AB147" s="37"/>
      <c r="AC147" s="37"/>
      <c r="AD147" s="37"/>
      <c r="AE147" s="6"/>
    </row>
    <row r="148" spans="4:31" s="1" customFormat="1" x14ac:dyDescent="0.25">
      <c r="D148" s="5"/>
      <c r="E148" s="2"/>
      <c r="F148" s="2"/>
      <c r="G148" s="2"/>
      <c r="H148" s="2"/>
      <c r="I148" s="2"/>
      <c r="J148" s="7"/>
      <c r="M148" s="2"/>
      <c r="N148" s="2"/>
      <c r="O148" s="7"/>
      <c r="P148" s="2"/>
      <c r="Q148" s="2"/>
      <c r="R148" s="2"/>
      <c r="S148" s="2"/>
      <c r="T148" s="2"/>
      <c r="U148" s="7"/>
      <c r="V148" s="37"/>
      <c r="W148" s="37"/>
      <c r="X148" s="37"/>
      <c r="Y148" s="37"/>
      <c r="Z148" s="37"/>
      <c r="AA148" s="37"/>
      <c r="AB148" s="37"/>
      <c r="AC148" s="37"/>
      <c r="AD148" s="37"/>
      <c r="AE148" s="6"/>
    </row>
    <row r="149" spans="4:31" s="1" customFormat="1" x14ac:dyDescent="0.25">
      <c r="D149" s="5"/>
      <c r="E149" s="2"/>
      <c r="F149" s="2"/>
      <c r="G149" s="2"/>
      <c r="H149" s="2"/>
      <c r="I149" s="2"/>
      <c r="J149" s="7"/>
      <c r="M149" s="2"/>
      <c r="N149" s="2"/>
      <c r="O149" s="7"/>
      <c r="P149" s="2"/>
      <c r="Q149" s="2"/>
      <c r="R149" s="2"/>
      <c r="S149" s="2"/>
      <c r="T149" s="2"/>
      <c r="U149" s="7"/>
      <c r="V149" s="37"/>
      <c r="W149" s="37"/>
      <c r="X149" s="37"/>
      <c r="Y149" s="37"/>
      <c r="Z149" s="37"/>
      <c r="AA149" s="37"/>
      <c r="AB149" s="37"/>
      <c r="AC149" s="37"/>
      <c r="AD149" s="37"/>
      <c r="AE149" s="6"/>
    </row>
    <row r="150" spans="4:31" s="1" customFormat="1" x14ac:dyDescent="0.25">
      <c r="D150" s="5"/>
      <c r="E150" s="2"/>
      <c r="F150" s="2"/>
      <c r="G150" s="2"/>
      <c r="H150" s="2"/>
      <c r="I150" s="2"/>
      <c r="J150" s="7"/>
      <c r="M150" s="2"/>
      <c r="N150" s="2"/>
      <c r="O150" s="7"/>
      <c r="P150" s="2"/>
      <c r="Q150" s="2"/>
      <c r="R150" s="2"/>
      <c r="S150" s="2"/>
      <c r="T150" s="2"/>
      <c r="U150" s="7"/>
      <c r="V150" s="37"/>
      <c r="W150" s="37"/>
      <c r="X150" s="37"/>
      <c r="Y150" s="37"/>
      <c r="Z150" s="37"/>
      <c r="AA150" s="37"/>
      <c r="AB150" s="37"/>
      <c r="AC150" s="37"/>
      <c r="AD150" s="37"/>
      <c r="AE150" s="6"/>
    </row>
    <row r="151" spans="4:31" s="1" customFormat="1" x14ac:dyDescent="0.25">
      <c r="D151" s="5"/>
      <c r="E151" s="2"/>
      <c r="F151" s="2"/>
      <c r="G151" s="2"/>
      <c r="H151" s="2"/>
      <c r="I151" s="2"/>
      <c r="J151" s="7"/>
      <c r="M151" s="2"/>
      <c r="N151" s="2"/>
      <c r="O151" s="7"/>
      <c r="P151" s="2"/>
      <c r="Q151" s="2"/>
      <c r="R151" s="2"/>
      <c r="S151" s="2"/>
      <c r="T151" s="2"/>
      <c r="U151" s="7"/>
      <c r="V151" s="37"/>
      <c r="W151" s="37"/>
      <c r="X151" s="37"/>
      <c r="Y151" s="37"/>
      <c r="Z151" s="37"/>
      <c r="AA151" s="37"/>
      <c r="AB151" s="37"/>
      <c r="AC151" s="37"/>
      <c r="AD151" s="37"/>
      <c r="AE151" s="6"/>
    </row>
    <row r="152" spans="4:31" s="1" customFormat="1" x14ac:dyDescent="0.25">
      <c r="D152" s="5"/>
      <c r="E152" s="2"/>
      <c r="F152" s="2"/>
      <c r="G152" s="2"/>
      <c r="H152" s="2"/>
      <c r="I152" s="2"/>
      <c r="J152" s="7"/>
      <c r="M152" s="2"/>
      <c r="N152" s="2"/>
      <c r="O152" s="7"/>
      <c r="P152" s="2"/>
      <c r="Q152" s="2"/>
      <c r="R152" s="2"/>
      <c r="S152" s="2"/>
      <c r="T152" s="2"/>
      <c r="U152" s="7"/>
      <c r="V152" s="37"/>
      <c r="W152" s="37"/>
      <c r="X152" s="37"/>
      <c r="Y152" s="37"/>
      <c r="Z152" s="37"/>
      <c r="AA152" s="37"/>
      <c r="AB152" s="37"/>
      <c r="AC152" s="37"/>
      <c r="AD152" s="37"/>
      <c r="AE152" s="6"/>
    </row>
    <row r="153" spans="4:31" s="1" customFormat="1" x14ac:dyDescent="0.25">
      <c r="D153" s="5"/>
      <c r="E153" s="2"/>
      <c r="F153" s="2"/>
      <c r="G153" s="2"/>
      <c r="H153" s="2"/>
      <c r="I153" s="2"/>
      <c r="J153" s="7"/>
      <c r="M153" s="2"/>
      <c r="N153" s="2"/>
      <c r="O153" s="7"/>
      <c r="P153" s="2"/>
      <c r="Q153" s="2"/>
      <c r="R153" s="2"/>
      <c r="S153" s="2"/>
      <c r="T153" s="2"/>
      <c r="U153" s="7"/>
      <c r="V153" s="37"/>
      <c r="W153" s="37"/>
      <c r="X153" s="37"/>
      <c r="Y153" s="37"/>
      <c r="Z153" s="37"/>
      <c r="AA153" s="37"/>
      <c r="AB153" s="37"/>
      <c r="AC153" s="37"/>
      <c r="AD153" s="37"/>
      <c r="AE153" s="6"/>
    </row>
    <row r="154" spans="4:31" s="1" customFormat="1" x14ac:dyDescent="0.25">
      <c r="D154" s="5"/>
      <c r="E154" s="2"/>
      <c r="F154" s="2"/>
      <c r="G154" s="2"/>
      <c r="H154" s="2"/>
      <c r="I154" s="2"/>
      <c r="J154" s="7"/>
      <c r="M154" s="2"/>
      <c r="N154" s="2"/>
      <c r="O154" s="7"/>
      <c r="P154" s="2"/>
      <c r="Q154" s="2"/>
      <c r="R154" s="2"/>
      <c r="S154" s="2"/>
      <c r="T154" s="2"/>
      <c r="U154" s="7"/>
      <c r="V154" s="37"/>
      <c r="W154" s="37"/>
      <c r="X154" s="37"/>
      <c r="Y154" s="37"/>
      <c r="Z154" s="37"/>
      <c r="AA154" s="37"/>
      <c r="AB154" s="37"/>
      <c r="AC154" s="37"/>
      <c r="AD154" s="37"/>
      <c r="AE154" s="6"/>
    </row>
    <row r="155" spans="4:31" s="1" customFormat="1" x14ac:dyDescent="0.25">
      <c r="D155" s="5"/>
      <c r="E155" s="2"/>
      <c r="F155" s="2"/>
      <c r="G155" s="2"/>
      <c r="H155" s="2"/>
      <c r="I155" s="2"/>
      <c r="J155" s="7"/>
      <c r="M155" s="2"/>
      <c r="N155" s="2"/>
      <c r="O155" s="7"/>
      <c r="P155" s="2"/>
      <c r="Q155" s="2"/>
      <c r="R155" s="2"/>
      <c r="S155" s="2"/>
      <c r="T155" s="2"/>
      <c r="U155" s="7"/>
      <c r="V155" s="37"/>
      <c r="W155" s="37"/>
      <c r="X155" s="37"/>
      <c r="Y155" s="37"/>
      <c r="Z155" s="37"/>
      <c r="AA155" s="37"/>
      <c r="AB155" s="37"/>
      <c r="AC155" s="37"/>
      <c r="AD155" s="37"/>
      <c r="AE155" s="6"/>
    </row>
    <row r="156" spans="4:31" s="1" customFormat="1" x14ac:dyDescent="0.25">
      <c r="D156" s="5"/>
      <c r="E156" s="2"/>
      <c r="F156" s="2"/>
      <c r="G156" s="2"/>
      <c r="H156" s="2"/>
      <c r="I156" s="2"/>
      <c r="J156" s="7"/>
      <c r="M156" s="2"/>
      <c r="N156" s="2"/>
      <c r="O156" s="7"/>
      <c r="P156" s="2"/>
      <c r="Q156" s="2"/>
      <c r="R156" s="2"/>
      <c r="S156" s="2"/>
      <c r="T156" s="2"/>
      <c r="U156" s="7"/>
      <c r="V156" s="37"/>
      <c r="W156" s="37"/>
      <c r="X156" s="37"/>
      <c r="Y156" s="37"/>
      <c r="Z156" s="37"/>
      <c r="AA156" s="37"/>
      <c r="AB156" s="37"/>
      <c r="AC156" s="37"/>
      <c r="AD156" s="37"/>
      <c r="AE156" s="6"/>
    </row>
    <row r="157" spans="4:31" s="1" customFormat="1" x14ac:dyDescent="0.25">
      <c r="D157" s="5"/>
      <c r="E157" s="2"/>
      <c r="F157" s="2"/>
      <c r="G157" s="2"/>
      <c r="H157" s="2"/>
      <c r="I157" s="2"/>
      <c r="J157" s="7"/>
      <c r="M157" s="2"/>
      <c r="N157" s="2"/>
      <c r="O157" s="7"/>
      <c r="P157" s="2"/>
      <c r="Q157" s="2"/>
      <c r="R157" s="2"/>
      <c r="S157" s="2"/>
      <c r="T157" s="2"/>
      <c r="U157" s="7"/>
      <c r="V157" s="37"/>
      <c r="W157" s="37"/>
      <c r="X157" s="37"/>
      <c r="Y157" s="37"/>
      <c r="Z157" s="37"/>
      <c r="AA157" s="37"/>
      <c r="AB157" s="37"/>
      <c r="AC157" s="37"/>
      <c r="AD157" s="37"/>
      <c r="AE157" s="6"/>
    </row>
    <row r="158" spans="4:31" s="1" customFormat="1" x14ac:dyDescent="0.25">
      <c r="D158" s="5"/>
      <c r="E158" s="2"/>
      <c r="F158" s="2"/>
      <c r="G158" s="2"/>
      <c r="H158" s="2"/>
      <c r="I158" s="2"/>
      <c r="J158" s="7"/>
      <c r="M158" s="2"/>
      <c r="N158" s="2"/>
      <c r="O158" s="7"/>
      <c r="P158" s="2"/>
      <c r="Q158" s="2"/>
      <c r="R158" s="2"/>
      <c r="S158" s="2"/>
      <c r="T158" s="2"/>
      <c r="U158" s="7"/>
      <c r="V158" s="37"/>
      <c r="W158" s="37"/>
      <c r="X158" s="37"/>
      <c r="Y158" s="37"/>
      <c r="Z158" s="37"/>
      <c r="AA158" s="37"/>
      <c r="AB158" s="37"/>
      <c r="AC158" s="37"/>
      <c r="AD158" s="37"/>
      <c r="AE158" s="6"/>
    </row>
    <row r="159" spans="4:31" s="1" customFormat="1" x14ac:dyDescent="0.25">
      <c r="D159" s="5"/>
      <c r="E159" s="2"/>
      <c r="F159" s="2"/>
      <c r="G159" s="2"/>
      <c r="H159" s="2"/>
      <c r="I159" s="2"/>
      <c r="J159" s="7"/>
      <c r="M159" s="2"/>
      <c r="N159" s="2"/>
      <c r="O159" s="7"/>
      <c r="P159" s="2"/>
      <c r="Q159" s="2"/>
      <c r="R159" s="2"/>
      <c r="S159" s="2"/>
      <c r="T159" s="2"/>
      <c r="U159" s="7"/>
      <c r="V159" s="37"/>
      <c r="W159" s="37"/>
      <c r="X159" s="37"/>
      <c r="Y159" s="37"/>
      <c r="Z159" s="37"/>
      <c r="AA159" s="37"/>
      <c r="AB159" s="37"/>
      <c r="AC159" s="37"/>
      <c r="AD159" s="37"/>
      <c r="AE159" s="6"/>
    </row>
    <row r="160" spans="4:31" s="1" customFormat="1" x14ac:dyDescent="0.25">
      <c r="D160" s="5"/>
      <c r="E160" s="2"/>
      <c r="F160" s="2"/>
      <c r="G160" s="2"/>
      <c r="H160" s="2"/>
      <c r="I160" s="2"/>
      <c r="J160" s="7"/>
      <c r="M160" s="2"/>
      <c r="N160" s="2"/>
      <c r="O160" s="7"/>
      <c r="P160" s="2"/>
      <c r="Q160" s="2"/>
      <c r="R160" s="2"/>
      <c r="S160" s="2"/>
      <c r="T160" s="2"/>
      <c r="U160" s="7"/>
      <c r="V160" s="37"/>
      <c r="W160" s="37"/>
      <c r="X160" s="37"/>
      <c r="Y160" s="37"/>
      <c r="Z160" s="37"/>
      <c r="AA160" s="37"/>
      <c r="AB160" s="37"/>
      <c r="AC160" s="37"/>
      <c r="AD160" s="37"/>
      <c r="AE160" s="6"/>
    </row>
    <row r="161" spans="4:31" s="1" customFormat="1" x14ac:dyDescent="0.25">
      <c r="D161" s="5"/>
      <c r="E161" s="2"/>
      <c r="F161" s="2"/>
      <c r="G161" s="2"/>
      <c r="H161" s="2"/>
      <c r="I161" s="2"/>
      <c r="J161" s="7"/>
      <c r="M161" s="2"/>
      <c r="N161" s="2"/>
      <c r="O161" s="7"/>
      <c r="P161" s="2"/>
      <c r="Q161" s="2"/>
      <c r="R161" s="2"/>
      <c r="S161" s="2"/>
      <c r="T161" s="2"/>
      <c r="U161" s="7"/>
      <c r="V161" s="37"/>
      <c r="W161" s="37"/>
      <c r="X161" s="37"/>
      <c r="Y161" s="37"/>
      <c r="Z161" s="37"/>
      <c r="AA161" s="37"/>
      <c r="AB161" s="37"/>
      <c r="AC161" s="37"/>
      <c r="AD161" s="37"/>
      <c r="AE161" s="6"/>
    </row>
    <row r="162" spans="4:31" s="1" customFormat="1" x14ac:dyDescent="0.25">
      <c r="D162" s="5"/>
      <c r="E162" s="2"/>
      <c r="F162" s="2"/>
      <c r="G162" s="2"/>
      <c r="H162" s="2"/>
      <c r="I162" s="2"/>
      <c r="J162" s="7"/>
      <c r="M162" s="2"/>
      <c r="N162" s="2"/>
      <c r="O162" s="7"/>
      <c r="P162" s="2"/>
      <c r="Q162" s="2"/>
      <c r="R162" s="2"/>
      <c r="S162" s="2"/>
      <c r="T162" s="2"/>
      <c r="U162" s="7"/>
      <c r="V162" s="37"/>
      <c r="W162" s="37"/>
      <c r="X162" s="37"/>
      <c r="Y162" s="37"/>
      <c r="Z162" s="37"/>
      <c r="AA162" s="37"/>
      <c r="AB162" s="37"/>
      <c r="AC162" s="37"/>
      <c r="AD162" s="37"/>
      <c r="AE162" s="6"/>
    </row>
    <row r="163" spans="4:31" s="1" customFormat="1" x14ac:dyDescent="0.25">
      <c r="D163" s="5"/>
      <c r="E163" s="2"/>
      <c r="F163" s="2"/>
      <c r="G163" s="2"/>
      <c r="H163" s="2"/>
      <c r="I163" s="2"/>
      <c r="J163" s="7"/>
      <c r="M163" s="2"/>
      <c r="N163" s="2"/>
      <c r="O163" s="7"/>
      <c r="P163" s="2"/>
      <c r="Q163" s="2"/>
      <c r="R163" s="2"/>
      <c r="S163" s="2"/>
      <c r="T163" s="2"/>
      <c r="U163" s="7"/>
      <c r="V163" s="37"/>
      <c r="W163" s="37"/>
      <c r="X163" s="37"/>
      <c r="Y163" s="37"/>
      <c r="Z163" s="37"/>
      <c r="AA163" s="37"/>
      <c r="AB163" s="37"/>
      <c r="AC163" s="37"/>
      <c r="AD163" s="37"/>
      <c r="AE163" s="6"/>
    </row>
    <row r="164" spans="4:31" s="1" customFormat="1" x14ac:dyDescent="0.25">
      <c r="D164" s="5"/>
      <c r="E164" s="2"/>
      <c r="F164" s="2"/>
      <c r="G164" s="2"/>
      <c r="H164" s="2"/>
      <c r="I164" s="2"/>
      <c r="J164" s="7"/>
      <c r="M164" s="2"/>
      <c r="N164" s="2"/>
      <c r="O164" s="7"/>
      <c r="P164" s="2"/>
      <c r="Q164" s="2"/>
      <c r="R164" s="2"/>
      <c r="S164" s="2"/>
      <c r="T164" s="2"/>
      <c r="U164" s="7"/>
      <c r="V164" s="37"/>
      <c r="W164" s="37"/>
      <c r="X164" s="37"/>
      <c r="Y164" s="37"/>
      <c r="Z164" s="37"/>
      <c r="AA164" s="37"/>
      <c r="AB164" s="37"/>
      <c r="AC164" s="37"/>
      <c r="AD164" s="37"/>
      <c r="AE164" s="6"/>
    </row>
    <row r="165" spans="4:31" s="1" customFormat="1" x14ac:dyDescent="0.25">
      <c r="D165" s="5"/>
      <c r="E165" s="2"/>
      <c r="F165" s="2"/>
      <c r="G165" s="2"/>
      <c r="H165" s="2"/>
      <c r="I165" s="2"/>
      <c r="J165" s="7"/>
      <c r="M165" s="2"/>
      <c r="N165" s="2"/>
      <c r="O165" s="7"/>
      <c r="P165" s="2"/>
      <c r="Q165" s="2"/>
      <c r="R165" s="2"/>
      <c r="S165" s="2"/>
      <c r="T165" s="2"/>
      <c r="U165" s="7"/>
      <c r="V165" s="37"/>
      <c r="W165" s="37"/>
      <c r="X165" s="37"/>
      <c r="Y165" s="37"/>
      <c r="Z165" s="37"/>
      <c r="AA165" s="37"/>
      <c r="AB165" s="37"/>
      <c r="AC165" s="37"/>
      <c r="AD165" s="37"/>
      <c r="AE165" s="6"/>
    </row>
    <row r="166" spans="4:31" s="1" customFormat="1" x14ac:dyDescent="0.25">
      <c r="D166" s="5"/>
      <c r="E166" s="2"/>
      <c r="F166" s="2"/>
      <c r="G166" s="2"/>
      <c r="H166" s="2"/>
      <c r="I166" s="2"/>
      <c r="J166" s="7"/>
      <c r="M166" s="2"/>
      <c r="N166" s="2"/>
      <c r="O166" s="7"/>
      <c r="P166" s="2"/>
      <c r="Q166" s="2"/>
      <c r="R166" s="2"/>
      <c r="S166" s="2"/>
      <c r="T166" s="2"/>
      <c r="U166" s="7"/>
      <c r="V166" s="37"/>
      <c r="W166" s="37"/>
      <c r="X166" s="37"/>
      <c r="Y166" s="37"/>
      <c r="Z166" s="37"/>
      <c r="AA166" s="37"/>
      <c r="AB166" s="37"/>
      <c r="AC166" s="37"/>
      <c r="AD166" s="37"/>
      <c r="AE166" s="6"/>
    </row>
    <row r="167" spans="4:31" s="1" customFormat="1" x14ac:dyDescent="0.25">
      <c r="D167" s="5"/>
      <c r="E167" s="2"/>
      <c r="F167" s="2"/>
      <c r="G167" s="2"/>
      <c r="H167" s="2"/>
      <c r="I167" s="2"/>
      <c r="J167" s="7"/>
      <c r="M167" s="2"/>
      <c r="N167" s="2"/>
      <c r="O167" s="7"/>
      <c r="P167" s="2"/>
      <c r="Q167" s="2"/>
      <c r="R167" s="2"/>
      <c r="S167" s="2"/>
      <c r="T167" s="2"/>
      <c r="U167" s="7"/>
      <c r="V167" s="37"/>
      <c r="W167" s="37"/>
      <c r="X167" s="37"/>
      <c r="Y167" s="37"/>
      <c r="Z167" s="37"/>
      <c r="AA167" s="37"/>
      <c r="AB167" s="37"/>
      <c r="AC167" s="37"/>
      <c r="AD167" s="37"/>
      <c r="AE167" s="6"/>
    </row>
    <row r="168" spans="4:31" s="1" customFormat="1" x14ac:dyDescent="0.25">
      <c r="D168" s="5"/>
      <c r="E168" s="2"/>
      <c r="F168" s="2"/>
      <c r="G168" s="2"/>
      <c r="H168" s="2"/>
      <c r="I168" s="2"/>
      <c r="J168" s="7"/>
      <c r="M168" s="2"/>
      <c r="N168" s="2"/>
      <c r="O168" s="7"/>
      <c r="P168" s="2"/>
      <c r="Q168" s="2"/>
      <c r="R168" s="2"/>
      <c r="S168" s="2"/>
      <c r="T168" s="2"/>
      <c r="U168" s="7"/>
      <c r="V168" s="37"/>
      <c r="W168" s="37"/>
      <c r="X168" s="37"/>
      <c r="Y168" s="37"/>
      <c r="Z168" s="37"/>
      <c r="AA168" s="37"/>
      <c r="AB168" s="37"/>
      <c r="AC168" s="37"/>
      <c r="AD168" s="37"/>
      <c r="AE168" s="6"/>
    </row>
    <row r="169" spans="4:31" s="1" customFormat="1" x14ac:dyDescent="0.25">
      <c r="D169" s="5"/>
      <c r="E169" s="2"/>
      <c r="F169" s="2"/>
      <c r="G169" s="2"/>
      <c r="H169" s="2"/>
      <c r="I169" s="2"/>
      <c r="J169" s="7"/>
      <c r="M169" s="2"/>
      <c r="N169" s="2"/>
      <c r="O169" s="7"/>
      <c r="P169" s="2"/>
      <c r="Q169" s="2"/>
      <c r="R169" s="2"/>
      <c r="S169" s="2"/>
      <c r="T169" s="2"/>
      <c r="U169" s="7"/>
      <c r="V169" s="37"/>
      <c r="W169" s="37"/>
      <c r="X169" s="37"/>
      <c r="Y169" s="37"/>
      <c r="Z169" s="37"/>
      <c r="AA169" s="37"/>
      <c r="AB169" s="37"/>
      <c r="AC169" s="37"/>
      <c r="AD169" s="37"/>
      <c r="AE169" s="6"/>
    </row>
    <row r="170" spans="4:31" s="1" customFormat="1" x14ac:dyDescent="0.25">
      <c r="D170" s="5"/>
      <c r="E170" s="2"/>
      <c r="F170" s="2"/>
      <c r="G170" s="2"/>
      <c r="H170" s="2"/>
      <c r="I170" s="2"/>
      <c r="J170" s="7"/>
      <c r="M170" s="2"/>
      <c r="N170" s="2"/>
      <c r="O170" s="7"/>
      <c r="P170" s="2"/>
      <c r="Q170" s="2"/>
      <c r="R170" s="2"/>
      <c r="S170" s="2"/>
      <c r="T170" s="2"/>
      <c r="U170" s="7"/>
      <c r="V170" s="37"/>
      <c r="W170" s="37"/>
      <c r="X170" s="37"/>
      <c r="Y170" s="37"/>
      <c r="Z170" s="37"/>
      <c r="AA170" s="37"/>
      <c r="AB170" s="37"/>
      <c r="AC170" s="37"/>
      <c r="AD170" s="37"/>
      <c r="AE170" s="6"/>
    </row>
    <row r="171" spans="4:31" s="1" customFormat="1" x14ac:dyDescent="0.25">
      <c r="D171" s="5"/>
      <c r="E171" s="2"/>
      <c r="F171" s="2"/>
      <c r="G171" s="2"/>
      <c r="H171" s="2"/>
      <c r="I171" s="2"/>
      <c r="J171" s="7"/>
      <c r="M171" s="2"/>
      <c r="N171" s="2"/>
      <c r="O171" s="7"/>
      <c r="P171" s="2"/>
      <c r="Q171" s="2"/>
      <c r="R171" s="2"/>
      <c r="S171" s="2"/>
      <c r="T171" s="2"/>
      <c r="U171" s="7"/>
      <c r="V171" s="37"/>
      <c r="W171" s="37"/>
      <c r="X171" s="37"/>
      <c r="Y171" s="37"/>
      <c r="Z171" s="37"/>
      <c r="AA171" s="37"/>
      <c r="AB171" s="37"/>
      <c r="AC171" s="37"/>
      <c r="AD171" s="37"/>
      <c r="AE171" s="6"/>
    </row>
    <row r="172" spans="4:31" s="1" customFormat="1" x14ac:dyDescent="0.25">
      <c r="D172" s="5"/>
      <c r="E172" s="2"/>
      <c r="F172" s="2"/>
      <c r="G172" s="2"/>
      <c r="H172" s="2"/>
      <c r="I172" s="2"/>
      <c r="J172" s="7"/>
      <c r="M172" s="2"/>
      <c r="N172" s="2"/>
      <c r="O172" s="7"/>
      <c r="P172" s="2"/>
      <c r="Q172" s="2"/>
      <c r="R172" s="2"/>
      <c r="S172" s="2"/>
      <c r="T172" s="2"/>
      <c r="U172" s="7"/>
      <c r="V172" s="37"/>
      <c r="W172" s="37"/>
      <c r="X172" s="37"/>
      <c r="Y172" s="37"/>
      <c r="Z172" s="37"/>
      <c r="AA172" s="37"/>
      <c r="AB172" s="37"/>
      <c r="AC172" s="37"/>
      <c r="AD172" s="37"/>
      <c r="AE172" s="6"/>
    </row>
    <row r="173" spans="4:31" s="1" customFormat="1" x14ac:dyDescent="0.25">
      <c r="D173" s="5"/>
      <c r="E173" s="2"/>
      <c r="F173" s="2"/>
      <c r="G173" s="2"/>
      <c r="H173" s="2"/>
      <c r="I173" s="2"/>
      <c r="J173" s="7"/>
      <c r="M173" s="2"/>
      <c r="N173" s="2"/>
      <c r="O173" s="7"/>
      <c r="P173" s="2"/>
      <c r="Q173" s="2"/>
      <c r="R173" s="2"/>
      <c r="S173" s="2"/>
      <c r="T173" s="2"/>
      <c r="U173" s="7"/>
      <c r="V173" s="37"/>
      <c r="W173" s="37"/>
      <c r="X173" s="37"/>
      <c r="Y173" s="37"/>
      <c r="Z173" s="37"/>
      <c r="AA173" s="37"/>
      <c r="AB173" s="37"/>
      <c r="AC173" s="37"/>
      <c r="AD173" s="37"/>
      <c r="AE173" s="6"/>
    </row>
    <row r="174" spans="4:31" s="1" customFormat="1" x14ac:dyDescent="0.25">
      <c r="D174" s="5"/>
      <c r="E174" s="2"/>
      <c r="F174" s="2"/>
      <c r="G174" s="2"/>
      <c r="H174" s="2"/>
      <c r="I174" s="2"/>
      <c r="J174" s="7"/>
      <c r="M174" s="2"/>
      <c r="N174" s="2"/>
      <c r="O174" s="7"/>
      <c r="P174" s="2"/>
      <c r="Q174" s="2"/>
      <c r="R174" s="2"/>
      <c r="S174" s="2"/>
      <c r="T174" s="2"/>
      <c r="U174" s="7"/>
      <c r="V174" s="37"/>
      <c r="W174" s="37"/>
      <c r="X174" s="37"/>
      <c r="Y174" s="37"/>
      <c r="Z174" s="37"/>
      <c r="AA174" s="37"/>
      <c r="AB174" s="37"/>
      <c r="AC174" s="37"/>
      <c r="AD174" s="37"/>
      <c r="AE174" s="6"/>
    </row>
    <row r="175" spans="4:31" s="1" customFormat="1" x14ac:dyDescent="0.25">
      <c r="D175" s="5"/>
      <c r="E175" s="2"/>
      <c r="F175" s="2"/>
      <c r="G175" s="2"/>
      <c r="H175" s="2"/>
      <c r="I175" s="2"/>
      <c r="J175" s="7"/>
      <c r="M175" s="2"/>
      <c r="N175" s="2"/>
      <c r="O175" s="7"/>
      <c r="P175" s="2"/>
      <c r="Q175" s="2"/>
      <c r="R175" s="2"/>
      <c r="S175" s="2"/>
      <c r="T175" s="2"/>
      <c r="U175" s="7"/>
      <c r="V175" s="37"/>
      <c r="W175" s="37"/>
      <c r="X175" s="37"/>
      <c r="Y175" s="37"/>
      <c r="Z175" s="37"/>
      <c r="AA175" s="37"/>
      <c r="AB175" s="37"/>
      <c r="AC175" s="37"/>
      <c r="AD175" s="37"/>
      <c r="AE175" s="6"/>
    </row>
    <row r="176" spans="4:31" s="1" customFormat="1" x14ac:dyDescent="0.25">
      <c r="D176" s="5"/>
      <c r="E176" s="2"/>
      <c r="F176" s="2"/>
      <c r="G176" s="2"/>
      <c r="H176" s="2"/>
      <c r="I176" s="2"/>
      <c r="J176" s="7"/>
      <c r="M176" s="2"/>
      <c r="N176" s="2"/>
      <c r="O176" s="7"/>
      <c r="P176" s="2"/>
      <c r="Q176" s="2"/>
      <c r="R176" s="2"/>
      <c r="S176" s="2"/>
      <c r="T176" s="2"/>
      <c r="U176" s="7"/>
      <c r="V176" s="37"/>
      <c r="W176" s="37"/>
      <c r="X176" s="37"/>
      <c r="Y176" s="37"/>
      <c r="Z176" s="37"/>
      <c r="AA176" s="37"/>
      <c r="AB176" s="37"/>
      <c r="AC176" s="37"/>
      <c r="AD176" s="37"/>
      <c r="AE176" s="6"/>
    </row>
    <row r="177" spans="4:31" s="1" customFormat="1" x14ac:dyDescent="0.25">
      <c r="D177" s="5"/>
      <c r="E177" s="2"/>
      <c r="F177" s="2"/>
      <c r="G177" s="2"/>
      <c r="H177" s="2"/>
      <c r="I177" s="2"/>
      <c r="J177" s="7"/>
      <c r="M177" s="2"/>
      <c r="N177" s="2"/>
      <c r="O177" s="7"/>
      <c r="P177" s="2"/>
      <c r="Q177" s="2"/>
      <c r="R177" s="2"/>
      <c r="S177" s="2"/>
      <c r="T177" s="2"/>
      <c r="U177" s="7"/>
      <c r="V177" s="37"/>
      <c r="W177" s="37"/>
      <c r="X177" s="37"/>
      <c r="Y177" s="37"/>
      <c r="Z177" s="37"/>
      <c r="AA177" s="37"/>
      <c r="AB177" s="37"/>
      <c r="AC177" s="37"/>
      <c r="AD177" s="37"/>
      <c r="AE177" s="6"/>
    </row>
    <row r="178" spans="4:31" s="1" customFormat="1" x14ac:dyDescent="0.25">
      <c r="D178" s="5"/>
      <c r="E178" s="2"/>
      <c r="F178" s="2"/>
      <c r="G178" s="2"/>
      <c r="H178" s="2"/>
      <c r="I178" s="2"/>
      <c r="J178" s="7"/>
      <c r="M178" s="2"/>
      <c r="N178" s="2"/>
      <c r="O178" s="7"/>
      <c r="P178" s="2"/>
      <c r="Q178" s="2"/>
      <c r="R178" s="2"/>
      <c r="S178" s="2"/>
      <c r="T178" s="2"/>
      <c r="U178" s="7"/>
      <c r="V178" s="37"/>
      <c r="W178" s="37"/>
      <c r="X178" s="37"/>
      <c r="Y178" s="37"/>
      <c r="Z178" s="37"/>
      <c r="AA178" s="37"/>
      <c r="AB178" s="37"/>
      <c r="AC178" s="37"/>
      <c r="AD178" s="37"/>
      <c r="AE178" s="6"/>
    </row>
    <row r="179" spans="4:31" s="1" customFormat="1" x14ac:dyDescent="0.25">
      <c r="D179" s="5"/>
      <c r="E179" s="2"/>
      <c r="F179" s="2"/>
      <c r="G179" s="2"/>
      <c r="H179" s="2"/>
      <c r="I179" s="2"/>
      <c r="J179" s="7"/>
      <c r="M179" s="2"/>
      <c r="N179" s="2"/>
      <c r="O179" s="7"/>
      <c r="P179" s="2"/>
      <c r="Q179" s="2"/>
      <c r="R179" s="2"/>
      <c r="S179" s="2"/>
      <c r="T179" s="2"/>
      <c r="U179" s="7"/>
      <c r="V179" s="37"/>
      <c r="W179" s="37"/>
      <c r="X179" s="37"/>
      <c r="Y179" s="37"/>
      <c r="Z179" s="37"/>
      <c r="AA179" s="37"/>
      <c r="AB179" s="37"/>
      <c r="AC179" s="37"/>
      <c r="AD179" s="37"/>
      <c r="AE179" s="6"/>
    </row>
    <row r="180" spans="4:31" s="1" customFormat="1" x14ac:dyDescent="0.25">
      <c r="D180" s="5"/>
      <c r="E180" s="2"/>
      <c r="F180" s="2"/>
      <c r="G180" s="2"/>
      <c r="H180" s="2"/>
      <c r="I180" s="2"/>
      <c r="J180" s="7"/>
      <c r="M180" s="2"/>
      <c r="N180" s="2"/>
      <c r="O180" s="7"/>
      <c r="P180" s="2"/>
      <c r="Q180" s="2"/>
      <c r="R180" s="2"/>
      <c r="S180" s="2"/>
      <c r="T180" s="2"/>
      <c r="U180" s="7"/>
      <c r="V180" s="37"/>
      <c r="W180" s="37"/>
      <c r="X180" s="37"/>
      <c r="Y180" s="37"/>
      <c r="Z180" s="37"/>
      <c r="AA180" s="37"/>
      <c r="AB180" s="37"/>
      <c r="AC180" s="37"/>
      <c r="AD180" s="37"/>
      <c r="AE180" s="6"/>
    </row>
    <row r="181" spans="4:31" s="1" customFormat="1" x14ac:dyDescent="0.25">
      <c r="D181" s="5"/>
      <c r="E181" s="2"/>
      <c r="F181" s="2"/>
      <c r="G181" s="2"/>
      <c r="H181" s="2"/>
      <c r="I181" s="2"/>
      <c r="J181" s="7"/>
      <c r="M181" s="2"/>
      <c r="N181" s="2"/>
      <c r="O181" s="7"/>
      <c r="P181" s="2"/>
      <c r="Q181" s="2"/>
      <c r="R181" s="2"/>
      <c r="S181" s="2"/>
      <c r="T181" s="2"/>
      <c r="U181" s="7"/>
      <c r="V181" s="37"/>
      <c r="W181" s="37"/>
      <c r="X181" s="37"/>
      <c r="Y181" s="37"/>
      <c r="Z181" s="37"/>
      <c r="AA181" s="37"/>
      <c r="AB181" s="37"/>
      <c r="AC181" s="37"/>
      <c r="AD181" s="37"/>
      <c r="AE181" s="6"/>
    </row>
    <row r="182" spans="4:31" s="1" customFormat="1" x14ac:dyDescent="0.25">
      <c r="D182" s="5"/>
      <c r="E182" s="2"/>
      <c r="F182" s="2"/>
      <c r="G182" s="2"/>
      <c r="H182" s="2"/>
      <c r="I182" s="2"/>
      <c r="J182" s="7"/>
      <c r="M182" s="2"/>
      <c r="N182" s="2"/>
      <c r="O182" s="7"/>
      <c r="P182" s="2"/>
      <c r="Q182" s="2"/>
      <c r="R182" s="2"/>
      <c r="S182" s="2"/>
      <c r="T182" s="2"/>
      <c r="U182" s="7"/>
      <c r="V182" s="37"/>
      <c r="W182" s="37"/>
      <c r="X182" s="37"/>
      <c r="Y182" s="37"/>
      <c r="Z182" s="37"/>
      <c r="AA182" s="37"/>
      <c r="AB182" s="37"/>
      <c r="AC182" s="37"/>
      <c r="AD182" s="37"/>
      <c r="AE182" s="6"/>
    </row>
    <row r="183" spans="4:31" s="1" customFormat="1" x14ac:dyDescent="0.25">
      <c r="D183" s="5"/>
      <c r="E183" s="2"/>
      <c r="F183" s="2"/>
      <c r="G183" s="2"/>
      <c r="H183" s="2"/>
      <c r="I183" s="2"/>
      <c r="J183" s="7"/>
      <c r="M183" s="2"/>
      <c r="N183" s="2"/>
      <c r="O183" s="7"/>
      <c r="P183" s="2"/>
      <c r="Q183" s="2"/>
      <c r="R183" s="2"/>
      <c r="S183" s="2"/>
      <c r="T183" s="2"/>
      <c r="U183" s="7"/>
      <c r="V183" s="37"/>
      <c r="W183" s="37"/>
      <c r="X183" s="37"/>
      <c r="Y183" s="37"/>
      <c r="Z183" s="37"/>
      <c r="AA183" s="37"/>
      <c r="AB183" s="37"/>
      <c r="AC183" s="37"/>
      <c r="AD183" s="37"/>
      <c r="AE183" s="6"/>
    </row>
    <row r="184" spans="4:31" s="1" customFormat="1" x14ac:dyDescent="0.25">
      <c r="D184" s="5"/>
      <c r="E184" s="2"/>
      <c r="F184" s="2"/>
      <c r="G184" s="2"/>
      <c r="H184" s="2"/>
      <c r="I184" s="2"/>
      <c r="J184" s="7"/>
      <c r="M184" s="2"/>
      <c r="N184" s="2"/>
      <c r="O184" s="7"/>
      <c r="P184" s="2"/>
      <c r="Q184" s="2"/>
      <c r="R184" s="2"/>
      <c r="S184" s="2"/>
      <c r="T184" s="2"/>
      <c r="U184" s="7"/>
      <c r="V184" s="37"/>
      <c r="W184" s="37"/>
      <c r="X184" s="37"/>
      <c r="Y184" s="37"/>
      <c r="Z184" s="37"/>
      <c r="AA184" s="37"/>
      <c r="AB184" s="37"/>
      <c r="AC184" s="37"/>
      <c r="AD184" s="37"/>
      <c r="AE184" s="6"/>
    </row>
    <row r="185" spans="4:31" s="1" customFormat="1" x14ac:dyDescent="0.25">
      <c r="D185" s="5"/>
      <c r="E185" s="2"/>
      <c r="F185" s="2"/>
      <c r="G185" s="2"/>
      <c r="H185" s="2"/>
      <c r="I185" s="2"/>
      <c r="J185" s="7"/>
      <c r="M185" s="2"/>
      <c r="N185" s="2"/>
      <c r="O185" s="7"/>
      <c r="P185" s="2"/>
      <c r="Q185" s="2"/>
      <c r="R185" s="2"/>
      <c r="S185" s="2"/>
      <c r="T185" s="2"/>
      <c r="U185" s="7"/>
      <c r="V185" s="37"/>
      <c r="W185" s="37"/>
      <c r="X185" s="37"/>
      <c r="Y185" s="37"/>
      <c r="Z185" s="37"/>
      <c r="AA185" s="37"/>
      <c r="AB185" s="37"/>
      <c r="AC185" s="37"/>
      <c r="AD185" s="37"/>
      <c r="AE185" s="6"/>
    </row>
    <row r="186" spans="4:31" s="1" customFormat="1" x14ac:dyDescent="0.25">
      <c r="D186" s="5"/>
      <c r="E186" s="2"/>
      <c r="F186" s="2"/>
      <c r="G186" s="2"/>
      <c r="H186" s="2"/>
      <c r="I186" s="2"/>
      <c r="J186" s="7"/>
      <c r="M186" s="2"/>
      <c r="N186" s="2"/>
      <c r="O186" s="7"/>
      <c r="P186" s="2"/>
      <c r="Q186" s="2"/>
      <c r="R186" s="2"/>
      <c r="S186" s="2"/>
      <c r="T186" s="2"/>
      <c r="U186" s="7"/>
      <c r="V186" s="37"/>
      <c r="W186" s="37"/>
      <c r="X186" s="37"/>
      <c r="Y186" s="37"/>
      <c r="Z186" s="37"/>
      <c r="AA186" s="37"/>
      <c r="AB186" s="37"/>
      <c r="AC186" s="37"/>
      <c r="AD186" s="37"/>
      <c r="AE186" s="6"/>
    </row>
    <row r="187" spans="4:31" s="1" customFormat="1" x14ac:dyDescent="0.25">
      <c r="D187" s="5"/>
      <c r="E187" s="2"/>
      <c r="F187" s="2"/>
      <c r="G187" s="2"/>
      <c r="H187" s="2"/>
      <c r="I187" s="2"/>
      <c r="J187" s="7"/>
      <c r="M187" s="2"/>
      <c r="N187" s="2"/>
      <c r="O187" s="7"/>
      <c r="P187" s="2"/>
      <c r="Q187" s="2"/>
      <c r="R187" s="2"/>
      <c r="S187" s="2"/>
      <c r="T187" s="2"/>
      <c r="U187" s="7"/>
      <c r="V187" s="37"/>
      <c r="W187" s="37"/>
      <c r="X187" s="37"/>
      <c r="Y187" s="37"/>
      <c r="Z187" s="37"/>
      <c r="AA187" s="37"/>
      <c r="AB187" s="37"/>
      <c r="AC187" s="37"/>
      <c r="AD187" s="37"/>
      <c r="AE187" s="6"/>
    </row>
    <row r="188" spans="4:31" s="1" customFormat="1" x14ac:dyDescent="0.25">
      <c r="D188" s="5"/>
      <c r="E188" s="2"/>
      <c r="F188" s="2"/>
      <c r="G188" s="2"/>
      <c r="H188" s="2"/>
      <c r="I188" s="2"/>
      <c r="J188" s="7"/>
      <c r="M188" s="2"/>
      <c r="N188" s="2"/>
      <c r="O188" s="7"/>
      <c r="P188" s="2"/>
      <c r="Q188" s="2"/>
      <c r="R188" s="2"/>
      <c r="S188" s="2"/>
      <c r="T188" s="2"/>
      <c r="U188" s="7"/>
      <c r="V188" s="37"/>
      <c r="W188" s="37"/>
      <c r="X188" s="37"/>
      <c r="Y188" s="37"/>
      <c r="Z188" s="37"/>
      <c r="AA188" s="37"/>
      <c r="AB188" s="37"/>
      <c r="AC188" s="37"/>
      <c r="AD188" s="37"/>
      <c r="AE188" s="6"/>
    </row>
    <row r="189" spans="4:31" s="1" customFormat="1" x14ac:dyDescent="0.25">
      <c r="D189" s="5"/>
      <c r="E189" s="2"/>
      <c r="F189" s="2"/>
      <c r="G189" s="2"/>
      <c r="H189" s="2"/>
      <c r="I189" s="2"/>
      <c r="J189" s="7"/>
      <c r="M189" s="2"/>
      <c r="N189" s="2"/>
      <c r="O189" s="7"/>
      <c r="P189" s="2"/>
      <c r="Q189" s="2"/>
      <c r="R189" s="2"/>
      <c r="S189" s="2"/>
      <c r="T189" s="2"/>
      <c r="U189" s="7"/>
      <c r="V189" s="37"/>
      <c r="W189" s="37"/>
      <c r="X189" s="37"/>
      <c r="Y189" s="37"/>
      <c r="Z189" s="37"/>
      <c r="AA189" s="37"/>
      <c r="AB189" s="37"/>
      <c r="AC189" s="37"/>
      <c r="AD189" s="37"/>
      <c r="AE189" s="6"/>
    </row>
    <row r="190" spans="4:31" s="1" customFormat="1" x14ac:dyDescent="0.25">
      <c r="D190" s="5"/>
      <c r="E190" s="2"/>
      <c r="F190" s="2"/>
      <c r="G190" s="2"/>
      <c r="H190" s="2"/>
      <c r="I190" s="2"/>
      <c r="J190" s="7"/>
      <c r="M190" s="2"/>
      <c r="N190" s="2"/>
      <c r="O190" s="7"/>
      <c r="P190" s="2"/>
      <c r="Q190" s="2"/>
      <c r="R190" s="2"/>
      <c r="S190" s="2"/>
      <c r="T190" s="2"/>
      <c r="U190" s="7"/>
      <c r="V190" s="37"/>
      <c r="W190" s="37"/>
      <c r="X190" s="37"/>
      <c r="Y190" s="37"/>
      <c r="Z190" s="37"/>
      <c r="AA190" s="37"/>
      <c r="AB190" s="37"/>
      <c r="AC190" s="37"/>
      <c r="AD190" s="37"/>
      <c r="AE190" s="6"/>
    </row>
    <row r="191" spans="4:31" s="1" customFormat="1" x14ac:dyDescent="0.25">
      <c r="D191" s="5"/>
      <c r="E191" s="2"/>
      <c r="F191" s="2"/>
      <c r="G191" s="2"/>
      <c r="H191" s="2"/>
      <c r="I191" s="2"/>
      <c r="J191" s="7"/>
      <c r="M191" s="2"/>
      <c r="N191" s="2"/>
      <c r="O191" s="7"/>
      <c r="P191" s="2"/>
      <c r="Q191" s="2"/>
      <c r="R191" s="2"/>
      <c r="S191" s="2"/>
      <c r="T191" s="2"/>
      <c r="U191" s="7"/>
      <c r="V191" s="37"/>
      <c r="W191" s="37"/>
      <c r="X191" s="37"/>
      <c r="Y191" s="37"/>
      <c r="Z191" s="37"/>
      <c r="AA191" s="37"/>
      <c r="AB191" s="37"/>
      <c r="AC191" s="37"/>
      <c r="AD191" s="37"/>
      <c r="AE191" s="6"/>
    </row>
    <row r="192" spans="4:31" s="1" customFormat="1" x14ac:dyDescent="0.25">
      <c r="D192" s="5"/>
      <c r="E192" s="2"/>
      <c r="F192" s="2"/>
      <c r="G192" s="2"/>
      <c r="H192" s="2"/>
      <c r="I192" s="2"/>
      <c r="J192" s="7"/>
      <c r="M192" s="2"/>
      <c r="N192" s="2"/>
      <c r="O192" s="7"/>
      <c r="P192" s="2"/>
      <c r="Q192" s="2"/>
      <c r="R192" s="2"/>
      <c r="S192" s="2"/>
      <c r="T192" s="2"/>
      <c r="U192" s="7"/>
      <c r="V192" s="37"/>
      <c r="W192" s="37"/>
      <c r="X192" s="37"/>
      <c r="Y192" s="37"/>
      <c r="Z192" s="37"/>
      <c r="AA192" s="37"/>
      <c r="AB192" s="37"/>
      <c r="AC192" s="37"/>
      <c r="AD192" s="37"/>
      <c r="AE192" s="6"/>
    </row>
    <row r="193" spans="4:31" s="1" customFormat="1" x14ac:dyDescent="0.25">
      <c r="D193" s="5"/>
      <c r="E193" s="2"/>
      <c r="F193" s="2"/>
      <c r="G193" s="2"/>
      <c r="H193" s="2"/>
      <c r="I193" s="2"/>
      <c r="J193" s="7"/>
      <c r="M193" s="2"/>
      <c r="N193" s="2"/>
      <c r="O193" s="7"/>
      <c r="P193" s="2"/>
      <c r="Q193" s="2"/>
      <c r="R193" s="2"/>
      <c r="S193" s="2"/>
      <c r="T193" s="2"/>
      <c r="U193" s="7"/>
      <c r="V193" s="37"/>
      <c r="W193" s="37"/>
      <c r="X193" s="37"/>
      <c r="Y193" s="37"/>
      <c r="Z193" s="37"/>
      <c r="AA193" s="37"/>
      <c r="AB193" s="37"/>
      <c r="AC193" s="37"/>
      <c r="AD193" s="37"/>
      <c r="AE193" s="6"/>
    </row>
    <row r="194" spans="4:31" s="1" customFormat="1" x14ac:dyDescent="0.25">
      <c r="D194" s="5"/>
      <c r="E194" s="2"/>
      <c r="F194" s="2"/>
      <c r="G194" s="2"/>
      <c r="H194" s="2"/>
      <c r="I194" s="2"/>
      <c r="J194" s="7"/>
      <c r="M194" s="2"/>
      <c r="N194" s="2"/>
      <c r="O194" s="7"/>
      <c r="P194" s="2"/>
      <c r="Q194" s="2"/>
      <c r="R194" s="2"/>
      <c r="S194" s="2"/>
      <c r="T194" s="2"/>
      <c r="U194" s="7"/>
      <c r="V194" s="37"/>
      <c r="W194" s="37"/>
      <c r="X194" s="37"/>
      <c r="Y194" s="37"/>
      <c r="Z194" s="37"/>
      <c r="AA194" s="37"/>
      <c r="AB194" s="37"/>
      <c r="AC194" s="37"/>
      <c r="AD194" s="37"/>
      <c r="AE194" s="6"/>
    </row>
    <row r="195" spans="4:31" s="1" customFormat="1" x14ac:dyDescent="0.25">
      <c r="D195" s="5"/>
      <c r="E195" s="2"/>
      <c r="F195" s="2"/>
      <c r="G195" s="2"/>
      <c r="H195" s="2"/>
      <c r="I195" s="2"/>
      <c r="J195" s="7"/>
      <c r="M195" s="2"/>
      <c r="N195" s="2"/>
      <c r="O195" s="7"/>
      <c r="P195" s="2"/>
      <c r="Q195" s="2"/>
      <c r="R195" s="2"/>
      <c r="S195" s="2"/>
      <c r="T195" s="2"/>
      <c r="U195" s="7"/>
      <c r="V195" s="37"/>
      <c r="W195" s="37"/>
      <c r="X195" s="37"/>
      <c r="Y195" s="37"/>
      <c r="Z195" s="37"/>
      <c r="AA195" s="37"/>
      <c r="AB195" s="37"/>
      <c r="AC195" s="37"/>
      <c r="AD195" s="37"/>
      <c r="AE195" s="6"/>
    </row>
    <row r="196" spans="4:31" s="1" customFormat="1" x14ac:dyDescent="0.25">
      <c r="D196" s="5"/>
      <c r="E196" s="2"/>
      <c r="F196" s="2"/>
      <c r="G196" s="2"/>
      <c r="H196" s="2"/>
      <c r="I196" s="2"/>
      <c r="J196" s="7"/>
      <c r="M196" s="2"/>
      <c r="N196" s="2"/>
      <c r="O196" s="7"/>
      <c r="P196" s="2"/>
      <c r="Q196" s="2"/>
      <c r="R196" s="2"/>
      <c r="S196" s="2"/>
      <c r="T196" s="2"/>
      <c r="U196" s="7"/>
      <c r="V196" s="37"/>
      <c r="W196" s="37"/>
      <c r="X196" s="37"/>
      <c r="Y196" s="37"/>
      <c r="Z196" s="37"/>
      <c r="AA196" s="37"/>
      <c r="AB196" s="37"/>
      <c r="AC196" s="37"/>
      <c r="AD196" s="37"/>
      <c r="AE196" s="6"/>
    </row>
    <row r="197" spans="4:31" s="1" customFormat="1" x14ac:dyDescent="0.25">
      <c r="D197" s="5"/>
      <c r="E197" s="2"/>
      <c r="F197" s="2"/>
      <c r="G197" s="2"/>
      <c r="H197" s="2"/>
      <c r="I197" s="2"/>
      <c r="J197" s="7"/>
      <c r="M197" s="2"/>
      <c r="N197" s="2"/>
      <c r="O197" s="7"/>
      <c r="P197" s="2"/>
      <c r="Q197" s="2"/>
      <c r="R197" s="2"/>
      <c r="S197" s="2"/>
      <c r="T197" s="2"/>
      <c r="U197" s="7"/>
      <c r="V197" s="37"/>
      <c r="W197" s="37"/>
      <c r="X197" s="37"/>
      <c r="Y197" s="37"/>
      <c r="Z197" s="37"/>
      <c r="AA197" s="37"/>
      <c r="AB197" s="37"/>
      <c r="AC197" s="37"/>
      <c r="AD197" s="37"/>
      <c r="AE197" s="6"/>
    </row>
    <row r="198" spans="4:31" s="1" customFormat="1" x14ac:dyDescent="0.25">
      <c r="D198" s="5"/>
      <c r="E198" s="2"/>
      <c r="F198" s="2"/>
      <c r="G198" s="2"/>
      <c r="H198" s="2"/>
      <c r="I198" s="2"/>
      <c r="J198" s="7"/>
      <c r="M198" s="2"/>
      <c r="N198" s="2"/>
      <c r="O198" s="7"/>
      <c r="P198" s="2"/>
      <c r="Q198" s="2"/>
      <c r="R198" s="2"/>
      <c r="S198" s="2"/>
      <c r="T198" s="2"/>
      <c r="U198" s="7"/>
      <c r="V198" s="37"/>
      <c r="W198" s="37"/>
      <c r="X198" s="37"/>
      <c r="Y198" s="37"/>
      <c r="Z198" s="37"/>
      <c r="AA198" s="37"/>
      <c r="AB198" s="37"/>
      <c r="AC198" s="37"/>
      <c r="AD198" s="37"/>
      <c r="AE198" s="6"/>
    </row>
    <row r="199" spans="4:31" s="1" customFormat="1" x14ac:dyDescent="0.25">
      <c r="D199" s="5"/>
      <c r="E199" s="2"/>
      <c r="F199" s="2"/>
      <c r="G199" s="2"/>
      <c r="H199" s="2"/>
      <c r="I199" s="2"/>
      <c r="J199" s="7"/>
      <c r="M199" s="2"/>
      <c r="N199" s="2"/>
      <c r="O199" s="7"/>
      <c r="P199" s="2"/>
      <c r="Q199" s="2"/>
      <c r="R199" s="2"/>
      <c r="S199" s="2"/>
      <c r="T199" s="2"/>
      <c r="U199" s="7"/>
      <c r="V199" s="37"/>
      <c r="W199" s="37"/>
      <c r="X199" s="37"/>
      <c r="Y199" s="37"/>
      <c r="Z199" s="37"/>
      <c r="AA199" s="37"/>
      <c r="AB199" s="37"/>
      <c r="AC199" s="37"/>
      <c r="AD199" s="37"/>
      <c r="AE199" s="6"/>
    </row>
    <row r="200" spans="4:31" s="1" customFormat="1" x14ac:dyDescent="0.25">
      <c r="D200" s="5"/>
      <c r="E200" s="2"/>
      <c r="F200" s="2"/>
      <c r="G200" s="2"/>
      <c r="H200" s="2"/>
      <c r="I200" s="2"/>
      <c r="J200" s="7"/>
      <c r="M200" s="2"/>
      <c r="N200" s="2"/>
      <c r="O200" s="7"/>
      <c r="P200" s="2"/>
      <c r="Q200" s="2"/>
      <c r="R200" s="2"/>
      <c r="S200" s="2"/>
      <c r="T200" s="2"/>
      <c r="U200" s="7"/>
      <c r="V200" s="37"/>
      <c r="W200" s="37"/>
      <c r="X200" s="37"/>
      <c r="Y200" s="37"/>
      <c r="Z200" s="37"/>
      <c r="AA200" s="37"/>
      <c r="AB200" s="37"/>
      <c r="AC200" s="37"/>
      <c r="AD200" s="37"/>
      <c r="AE200" s="6"/>
    </row>
    <row r="201" spans="4:31" s="1" customFormat="1" x14ac:dyDescent="0.25">
      <c r="D201" s="5"/>
      <c r="E201" s="2"/>
      <c r="F201" s="2"/>
      <c r="G201" s="2"/>
      <c r="H201" s="2"/>
      <c r="I201" s="2"/>
      <c r="J201" s="7"/>
      <c r="M201" s="2"/>
      <c r="N201" s="2"/>
      <c r="O201" s="7"/>
      <c r="P201" s="2"/>
      <c r="Q201" s="2"/>
      <c r="R201" s="2"/>
      <c r="S201" s="2"/>
      <c r="T201" s="2"/>
      <c r="U201" s="7"/>
      <c r="V201" s="37"/>
      <c r="W201" s="37"/>
      <c r="X201" s="37"/>
      <c r="Y201" s="37"/>
      <c r="Z201" s="37"/>
      <c r="AA201" s="37"/>
      <c r="AB201" s="37"/>
      <c r="AC201" s="37"/>
      <c r="AD201" s="37"/>
      <c r="AE201" s="6"/>
    </row>
    <row r="202" spans="4:31" s="1" customFormat="1" x14ac:dyDescent="0.25">
      <c r="D202" s="5"/>
      <c r="E202" s="2"/>
      <c r="F202" s="2"/>
      <c r="G202" s="2"/>
      <c r="H202" s="2"/>
      <c r="I202" s="2"/>
      <c r="J202" s="7"/>
      <c r="M202" s="2"/>
      <c r="N202" s="2"/>
      <c r="O202" s="7"/>
      <c r="P202" s="2"/>
      <c r="Q202" s="2"/>
      <c r="R202" s="2"/>
      <c r="S202" s="2"/>
      <c r="T202" s="2"/>
      <c r="U202" s="7"/>
      <c r="V202" s="37"/>
      <c r="W202" s="37"/>
      <c r="X202" s="37"/>
      <c r="Y202" s="37"/>
      <c r="Z202" s="37"/>
      <c r="AA202" s="37"/>
      <c r="AB202" s="37"/>
      <c r="AC202" s="37"/>
      <c r="AD202" s="37"/>
      <c r="AE202" s="6"/>
    </row>
    <row r="203" spans="4:31" s="1" customFormat="1" x14ac:dyDescent="0.25">
      <c r="D203" s="5"/>
      <c r="E203" s="2"/>
      <c r="F203" s="2"/>
      <c r="G203" s="2"/>
      <c r="H203" s="2"/>
      <c r="I203" s="2"/>
      <c r="J203" s="7"/>
      <c r="M203" s="2"/>
      <c r="N203" s="2"/>
      <c r="O203" s="7"/>
      <c r="P203" s="2"/>
      <c r="Q203" s="2"/>
      <c r="R203" s="2"/>
      <c r="S203" s="2"/>
      <c r="T203" s="2"/>
      <c r="U203" s="7"/>
      <c r="V203" s="37"/>
      <c r="W203" s="37"/>
      <c r="X203" s="37"/>
      <c r="Y203" s="37"/>
      <c r="Z203" s="37"/>
      <c r="AA203" s="37"/>
      <c r="AB203" s="37"/>
      <c r="AC203" s="37"/>
      <c r="AD203" s="37"/>
      <c r="AE203" s="6"/>
    </row>
    <row r="204" spans="4:31" s="1" customFormat="1" x14ac:dyDescent="0.25">
      <c r="D204" s="5"/>
      <c r="E204" s="2"/>
      <c r="F204" s="2"/>
      <c r="G204" s="2"/>
      <c r="H204" s="2"/>
      <c r="I204" s="2"/>
      <c r="J204" s="7"/>
      <c r="M204" s="2"/>
      <c r="N204" s="2"/>
      <c r="O204" s="7"/>
      <c r="P204" s="2"/>
      <c r="Q204" s="2"/>
      <c r="R204" s="2"/>
      <c r="S204" s="2"/>
      <c r="T204" s="2"/>
      <c r="U204" s="7"/>
      <c r="V204" s="37"/>
      <c r="W204" s="37"/>
      <c r="X204" s="37"/>
      <c r="Y204" s="37"/>
      <c r="Z204" s="37"/>
      <c r="AA204" s="37"/>
      <c r="AB204" s="37"/>
      <c r="AC204" s="37"/>
      <c r="AD204" s="37"/>
      <c r="AE204" s="6"/>
    </row>
    <row r="205" spans="4:31" s="1" customFormat="1" x14ac:dyDescent="0.25">
      <c r="D205" s="5"/>
      <c r="E205" s="2"/>
      <c r="F205" s="2"/>
      <c r="G205" s="2"/>
      <c r="H205" s="2"/>
      <c r="I205" s="2"/>
      <c r="J205" s="7"/>
      <c r="M205" s="2"/>
      <c r="N205" s="2"/>
      <c r="O205" s="7"/>
      <c r="P205" s="2"/>
      <c r="Q205" s="2"/>
      <c r="R205" s="2"/>
      <c r="S205" s="2"/>
      <c r="T205" s="2"/>
      <c r="U205" s="7"/>
      <c r="V205" s="37"/>
      <c r="W205" s="37"/>
      <c r="X205" s="37"/>
      <c r="Y205" s="37"/>
      <c r="Z205" s="37"/>
      <c r="AA205" s="37"/>
      <c r="AB205" s="37"/>
      <c r="AC205" s="37"/>
      <c r="AD205" s="37"/>
      <c r="AE205" s="6"/>
    </row>
    <row r="206" spans="4:31" s="1" customFormat="1" x14ac:dyDescent="0.25">
      <c r="D206" s="5"/>
      <c r="E206" s="2"/>
      <c r="F206" s="2"/>
      <c r="G206" s="2"/>
      <c r="H206" s="2"/>
      <c r="I206" s="2"/>
      <c r="J206" s="7"/>
      <c r="M206" s="2"/>
      <c r="N206" s="2"/>
      <c r="O206" s="7"/>
      <c r="P206" s="2"/>
      <c r="Q206" s="2"/>
      <c r="R206" s="2"/>
      <c r="S206" s="2"/>
      <c r="T206" s="2"/>
      <c r="U206" s="7"/>
      <c r="V206" s="37"/>
      <c r="W206" s="37"/>
      <c r="X206" s="37"/>
      <c r="Y206" s="37"/>
      <c r="Z206" s="37"/>
      <c r="AA206" s="37"/>
      <c r="AB206" s="37"/>
      <c r="AC206" s="37"/>
      <c r="AD206" s="37"/>
      <c r="AE206" s="6"/>
    </row>
    <row r="207" spans="4:31" s="1" customFormat="1" x14ac:dyDescent="0.25">
      <c r="D207" s="5"/>
      <c r="E207" s="2"/>
      <c r="F207" s="2"/>
      <c r="G207" s="2"/>
      <c r="H207" s="2"/>
      <c r="I207" s="2"/>
      <c r="J207" s="7"/>
      <c r="M207" s="2"/>
      <c r="N207" s="2"/>
      <c r="O207" s="7"/>
      <c r="P207" s="2"/>
      <c r="Q207" s="2"/>
      <c r="R207" s="2"/>
      <c r="S207" s="2"/>
      <c r="T207" s="2"/>
      <c r="U207" s="7"/>
      <c r="V207" s="37"/>
      <c r="W207" s="37"/>
      <c r="X207" s="37"/>
      <c r="Y207" s="37"/>
      <c r="Z207" s="37"/>
      <c r="AA207" s="37"/>
      <c r="AB207" s="37"/>
      <c r="AC207" s="37"/>
      <c r="AD207" s="37"/>
      <c r="AE207" s="6"/>
    </row>
    <row r="208" spans="4:31" s="1" customFormat="1" x14ac:dyDescent="0.25">
      <c r="D208" s="5"/>
      <c r="E208" s="2"/>
      <c r="F208" s="2"/>
      <c r="G208" s="2"/>
      <c r="H208" s="2"/>
      <c r="I208" s="2"/>
      <c r="J208" s="7"/>
      <c r="M208" s="2"/>
      <c r="N208" s="2"/>
      <c r="O208" s="7"/>
      <c r="P208" s="2"/>
      <c r="Q208" s="2"/>
      <c r="R208" s="2"/>
      <c r="S208" s="2"/>
      <c r="T208" s="2"/>
      <c r="U208" s="7"/>
      <c r="V208" s="37"/>
      <c r="W208" s="37"/>
      <c r="X208" s="37"/>
      <c r="Y208" s="37"/>
      <c r="Z208" s="37"/>
      <c r="AA208" s="37"/>
      <c r="AB208" s="37"/>
      <c r="AC208" s="37"/>
      <c r="AD208" s="37"/>
      <c r="AE208" s="6"/>
    </row>
    <row r="209" spans="4:31" s="1" customFormat="1" x14ac:dyDescent="0.25">
      <c r="D209" s="5"/>
      <c r="E209" s="2"/>
      <c r="F209" s="2"/>
      <c r="G209" s="2"/>
      <c r="H209" s="2"/>
      <c r="I209" s="2"/>
      <c r="J209" s="7"/>
      <c r="M209" s="2"/>
      <c r="N209" s="2"/>
      <c r="O209" s="7"/>
      <c r="P209" s="2"/>
      <c r="Q209" s="2"/>
      <c r="R209" s="2"/>
      <c r="S209" s="2"/>
      <c r="T209" s="2"/>
      <c r="U209" s="7"/>
      <c r="V209" s="37"/>
      <c r="W209" s="37"/>
      <c r="X209" s="37"/>
      <c r="Y209" s="37"/>
      <c r="Z209" s="37"/>
      <c r="AA209" s="37"/>
      <c r="AB209" s="37"/>
      <c r="AC209" s="37"/>
      <c r="AD209" s="37"/>
      <c r="AE209" s="6"/>
    </row>
    <row r="210" spans="4:31" s="1" customFormat="1" x14ac:dyDescent="0.25">
      <c r="D210" s="5"/>
      <c r="E210" s="2"/>
      <c r="F210" s="2"/>
      <c r="G210" s="2"/>
      <c r="H210" s="2"/>
      <c r="I210" s="2"/>
      <c r="J210" s="7"/>
      <c r="M210" s="2"/>
      <c r="N210" s="2"/>
      <c r="O210" s="7"/>
      <c r="P210" s="2"/>
      <c r="Q210" s="2"/>
      <c r="R210" s="2"/>
      <c r="S210" s="2"/>
      <c r="T210" s="2"/>
      <c r="U210" s="7"/>
      <c r="V210" s="37"/>
      <c r="W210" s="37"/>
      <c r="X210" s="37"/>
      <c r="Y210" s="37"/>
      <c r="Z210" s="37"/>
      <c r="AA210" s="37"/>
      <c r="AB210" s="37"/>
      <c r="AC210" s="37"/>
      <c r="AD210" s="37"/>
      <c r="AE210" s="6"/>
    </row>
    <row r="211" spans="4:31" s="1" customFormat="1" x14ac:dyDescent="0.25">
      <c r="D211" s="5"/>
      <c r="E211" s="2"/>
      <c r="F211" s="2"/>
      <c r="G211" s="2"/>
      <c r="H211" s="2"/>
      <c r="I211" s="2"/>
      <c r="J211" s="7"/>
      <c r="M211" s="2"/>
      <c r="N211" s="2"/>
      <c r="O211" s="7"/>
      <c r="P211" s="2"/>
      <c r="Q211" s="2"/>
      <c r="R211" s="2"/>
      <c r="S211" s="2"/>
      <c r="T211" s="2"/>
      <c r="U211" s="7"/>
      <c r="V211" s="37"/>
      <c r="W211" s="37"/>
      <c r="X211" s="37"/>
      <c r="Y211" s="37"/>
      <c r="Z211" s="37"/>
      <c r="AA211" s="37"/>
      <c r="AB211" s="37"/>
      <c r="AC211" s="37"/>
      <c r="AD211" s="37"/>
      <c r="AE211" s="6"/>
    </row>
    <row r="212" spans="4:31" s="1" customFormat="1" x14ac:dyDescent="0.25">
      <c r="D212" s="5"/>
      <c r="E212" s="2"/>
      <c r="F212" s="2"/>
      <c r="G212" s="2"/>
      <c r="H212" s="2"/>
      <c r="I212" s="2"/>
      <c r="J212" s="7"/>
      <c r="M212" s="2"/>
      <c r="N212" s="2"/>
      <c r="O212" s="7"/>
      <c r="P212" s="2"/>
      <c r="Q212" s="2"/>
      <c r="R212" s="2"/>
      <c r="S212" s="2"/>
      <c r="T212" s="2"/>
      <c r="U212" s="7"/>
      <c r="V212" s="37"/>
      <c r="W212" s="37"/>
      <c r="X212" s="37"/>
      <c r="Y212" s="37"/>
      <c r="Z212" s="37"/>
      <c r="AA212" s="37"/>
      <c r="AB212" s="37"/>
      <c r="AC212" s="37"/>
      <c r="AD212" s="37"/>
      <c r="AE212" s="6"/>
    </row>
    <row r="213" spans="4:31" s="1" customFormat="1" x14ac:dyDescent="0.25">
      <c r="D213" s="5"/>
      <c r="E213" s="2"/>
      <c r="F213" s="2"/>
      <c r="G213" s="2"/>
      <c r="H213" s="2"/>
      <c r="I213" s="2"/>
      <c r="J213" s="7"/>
      <c r="M213" s="2"/>
      <c r="N213" s="2"/>
      <c r="O213" s="7"/>
      <c r="P213" s="2"/>
      <c r="Q213" s="2"/>
      <c r="R213" s="2"/>
      <c r="S213" s="2"/>
      <c r="T213" s="2"/>
      <c r="U213" s="7"/>
      <c r="V213" s="37"/>
      <c r="W213" s="37"/>
      <c r="X213" s="37"/>
      <c r="Y213" s="37"/>
      <c r="Z213" s="37"/>
      <c r="AA213" s="37"/>
      <c r="AB213" s="37"/>
      <c r="AC213" s="37"/>
      <c r="AD213" s="37"/>
      <c r="AE213" s="6"/>
    </row>
    <row r="214" spans="4:31" s="1" customFormat="1" x14ac:dyDescent="0.25">
      <c r="D214" s="5"/>
      <c r="E214" s="2"/>
      <c r="F214" s="2"/>
      <c r="G214" s="2"/>
      <c r="H214" s="2"/>
      <c r="I214" s="2"/>
      <c r="J214" s="7"/>
      <c r="M214" s="2"/>
      <c r="N214" s="2"/>
      <c r="O214" s="7"/>
      <c r="P214" s="2"/>
      <c r="Q214" s="2"/>
      <c r="R214" s="2"/>
      <c r="S214" s="2"/>
      <c r="T214" s="2"/>
      <c r="U214" s="7"/>
      <c r="V214" s="37"/>
      <c r="W214" s="37"/>
      <c r="X214" s="37"/>
      <c r="Y214" s="37"/>
      <c r="Z214" s="37"/>
      <c r="AA214" s="37"/>
      <c r="AB214" s="37"/>
      <c r="AC214" s="37"/>
      <c r="AD214" s="37"/>
      <c r="AE214" s="6"/>
    </row>
    <row r="215" spans="4:31" s="1" customFormat="1" x14ac:dyDescent="0.25">
      <c r="D215" s="5"/>
      <c r="E215" s="2"/>
      <c r="F215" s="2"/>
      <c r="G215" s="2"/>
      <c r="H215" s="2"/>
      <c r="I215" s="2"/>
      <c r="J215" s="7"/>
      <c r="M215" s="2"/>
      <c r="N215" s="2"/>
      <c r="O215" s="7"/>
      <c r="P215" s="2"/>
      <c r="Q215" s="2"/>
      <c r="R215" s="2"/>
      <c r="S215" s="2"/>
      <c r="T215" s="2"/>
      <c r="U215" s="7"/>
      <c r="V215" s="37"/>
      <c r="W215" s="37"/>
      <c r="X215" s="37"/>
      <c r="Y215" s="37"/>
      <c r="Z215" s="37"/>
      <c r="AA215" s="37"/>
      <c r="AB215" s="37"/>
      <c r="AC215" s="37"/>
      <c r="AD215" s="37"/>
      <c r="AE215" s="6"/>
    </row>
    <row r="216" spans="4:31" s="1" customFormat="1" x14ac:dyDescent="0.25">
      <c r="D216" s="5"/>
      <c r="E216" s="2"/>
      <c r="F216" s="2"/>
      <c r="G216" s="2"/>
      <c r="H216" s="2"/>
      <c r="I216" s="2"/>
      <c r="J216" s="7"/>
      <c r="M216" s="2"/>
      <c r="N216" s="2"/>
      <c r="O216" s="7"/>
      <c r="P216" s="2"/>
      <c r="Q216" s="2"/>
      <c r="R216" s="2"/>
      <c r="S216" s="2"/>
      <c r="T216" s="2"/>
      <c r="U216" s="7"/>
      <c r="V216" s="37"/>
      <c r="W216" s="37"/>
      <c r="X216" s="37"/>
      <c r="Y216" s="37"/>
      <c r="Z216" s="37"/>
      <c r="AA216" s="37"/>
      <c r="AB216" s="37"/>
      <c r="AC216" s="37"/>
      <c r="AD216" s="37"/>
      <c r="AE216" s="6"/>
    </row>
    <row r="217" spans="4:31" s="1" customFormat="1" x14ac:dyDescent="0.25">
      <c r="D217" s="5"/>
      <c r="E217" s="2"/>
      <c r="F217" s="2"/>
      <c r="G217" s="2"/>
      <c r="H217" s="2"/>
      <c r="I217" s="2"/>
      <c r="J217" s="7"/>
      <c r="M217" s="2"/>
      <c r="N217" s="2"/>
      <c r="O217" s="7"/>
      <c r="P217" s="2"/>
      <c r="Q217" s="2"/>
      <c r="R217" s="2"/>
      <c r="S217" s="2"/>
      <c r="T217" s="2"/>
      <c r="U217" s="7"/>
      <c r="V217" s="37"/>
      <c r="W217" s="37"/>
      <c r="X217" s="37"/>
      <c r="Y217" s="37"/>
      <c r="Z217" s="37"/>
      <c r="AA217" s="37"/>
      <c r="AB217" s="37"/>
      <c r="AC217" s="37"/>
      <c r="AD217" s="37"/>
      <c r="AE217" s="6"/>
    </row>
    <row r="218" spans="4:31" s="1" customFormat="1" x14ac:dyDescent="0.25">
      <c r="D218" s="5"/>
      <c r="E218" s="2"/>
      <c r="F218" s="2"/>
      <c r="G218" s="2"/>
      <c r="H218" s="2"/>
      <c r="I218" s="2"/>
      <c r="J218" s="7"/>
      <c r="M218" s="2"/>
      <c r="N218" s="2"/>
      <c r="O218" s="7"/>
      <c r="P218" s="2"/>
      <c r="Q218" s="2"/>
      <c r="R218" s="2"/>
      <c r="S218" s="2"/>
      <c r="T218" s="2"/>
      <c r="U218" s="7"/>
      <c r="V218" s="37"/>
      <c r="W218" s="37"/>
      <c r="X218" s="37"/>
      <c r="Y218" s="37"/>
      <c r="Z218" s="37"/>
      <c r="AA218" s="37"/>
      <c r="AB218" s="37"/>
      <c r="AC218" s="37"/>
      <c r="AD218" s="37"/>
      <c r="AE218" s="6"/>
    </row>
    <row r="219" spans="4:31" s="1" customFormat="1" x14ac:dyDescent="0.25">
      <c r="D219" s="5"/>
      <c r="E219" s="2"/>
      <c r="F219" s="2"/>
      <c r="G219" s="2"/>
      <c r="H219" s="2"/>
      <c r="I219" s="2"/>
      <c r="J219" s="7"/>
      <c r="M219" s="2"/>
      <c r="N219" s="2"/>
      <c r="O219" s="7"/>
      <c r="P219" s="2"/>
      <c r="Q219" s="2"/>
      <c r="R219" s="2"/>
      <c r="S219" s="2"/>
      <c r="T219" s="2"/>
      <c r="U219" s="7"/>
      <c r="V219" s="37"/>
      <c r="W219" s="37"/>
      <c r="X219" s="37"/>
      <c r="Y219" s="37"/>
      <c r="Z219" s="37"/>
      <c r="AA219" s="37"/>
      <c r="AB219" s="37"/>
      <c r="AC219" s="37"/>
      <c r="AD219" s="37"/>
      <c r="AE219" s="6"/>
    </row>
    <row r="220" spans="4:31" s="1" customFormat="1" x14ac:dyDescent="0.25">
      <c r="D220" s="5"/>
      <c r="E220" s="2"/>
      <c r="F220" s="2"/>
      <c r="G220" s="2"/>
      <c r="H220" s="2"/>
      <c r="I220" s="2"/>
      <c r="J220" s="7"/>
      <c r="M220" s="2"/>
      <c r="N220" s="2"/>
      <c r="O220" s="7"/>
      <c r="P220" s="2"/>
      <c r="Q220" s="2"/>
      <c r="R220" s="2"/>
      <c r="S220" s="2"/>
      <c r="T220" s="2"/>
      <c r="U220" s="7"/>
      <c r="V220" s="37"/>
      <c r="W220" s="37"/>
      <c r="X220" s="37"/>
      <c r="Y220" s="37"/>
      <c r="Z220" s="37"/>
      <c r="AA220" s="37"/>
      <c r="AB220" s="37"/>
      <c r="AC220" s="37"/>
      <c r="AD220" s="37"/>
      <c r="AE220" s="6"/>
    </row>
    <row r="221" spans="4:31" s="1" customFormat="1" x14ac:dyDescent="0.25">
      <c r="D221" s="5"/>
      <c r="E221" s="2"/>
      <c r="F221" s="2"/>
      <c r="G221" s="2"/>
      <c r="H221" s="2"/>
      <c r="I221" s="2"/>
      <c r="J221" s="7"/>
      <c r="M221" s="2"/>
      <c r="N221" s="2"/>
      <c r="O221" s="7"/>
      <c r="P221" s="2"/>
      <c r="Q221" s="2"/>
      <c r="R221" s="2"/>
      <c r="S221" s="2"/>
      <c r="T221" s="2"/>
      <c r="U221" s="7"/>
      <c r="V221" s="37"/>
      <c r="W221" s="37"/>
      <c r="X221" s="37"/>
      <c r="Y221" s="37"/>
      <c r="Z221" s="37"/>
      <c r="AA221" s="37"/>
      <c r="AB221" s="37"/>
      <c r="AC221" s="37"/>
      <c r="AD221" s="37"/>
      <c r="AE221" s="6"/>
    </row>
    <row r="222" spans="4:31" s="1" customFormat="1" x14ac:dyDescent="0.25">
      <c r="D222" s="5"/>
      <c r="E222" s="2"/>
      <c r="F222" s="2"/>
      <c r="G222" s="2"/>
      <c r="H222" s="2"/>
      <c r="I222" s="2"/>
      <c r="J222" s="7"/>
      <c r="M222" s="2"/>
      <c r="N222" s="2"/>
      <c r="O222" s="7"/>
      <c r="P222" s="2"/>
      <c r="Q222" s="2"/>
      <c r="R222" s="2"/>
      <c r="S222" s="2"/>
      <c r="T222" s="2"/>
      <c r="U222" s="7"/>
      <c r="V222" s="37"/>
      <c r="W222" s="37"/>
      <c r="X222" s="37"/>
      <c r="Y222" s="37"/>
      <c r="Z222" s="37"/>
      <c r="AA222" s="37"/>
      <c r="AB222" s="37"/>
      <c r="AC222" s="37"/>
      <c r="AD222" s="37"/>
      <c r="AE222" s="6"/>
    </row>
    <row r="223" spans="4:31" s="1" customFormat="1" x14ac:dyDescent="0.25">
      <c r="D223" s="5"/>
      <c r="E223" s="2"/>
      <c r="F223" s="2"/>
      <c r="G223" s="2"/>
      <c r="H223" s="2"/>
      <c r="I223" s="2"/>
      <c r="J223" s="7"/>
      <c r="M223" s="2"/>
      <c r="N223" s="2"/>
      <c r="O223" s="7"/>
      <c r="P223" s="2"/>
      <c r="Q223" s="2"/>
      <c r="R223" s="2"/>
      <c r="S223" s="2"/>
      <c r="T223" s="2"/>
      <c r="U223" s="7"/>
      <c r="V223" s="37"/>
      <c r="W223" s="37"/>
      <c r="X223" s="37"/>
      <c r="Y223" s="37"/>
      <c r="Z223" s="37"/>
      <c r="AA223" s="37"/>
      <c r="AB223" s="37"/>
      <c r="AC223" s="37"/>
      <c r="AD223" s="37"/>
      <c r="AE223" s="6"/>
    </row>
    <row r="224" spans="4:31" s="1" customFormat="1" x14ac:dyDescent="0.25">
      <c r="D224" s="5"/>
      <c r="E224" s="2"/>
      <c r="F224" s="2"/>
      <c r="G224" s="2"/>
      <c r="H224" s="2"/>
      <c r="I224" s="2"/>
      <c r="J224" s="7"/>
      <c r="M224" s="2"/>
      <c r="N224" s="2"/>
      <c r="O224" s="7"/>
      <c r="P224" s="2"/>
      <c r="Q224" s="2"/>
      <c r="R224" s="2"/>
      <c r="S224" s="2"/>
      <c r="T224" s="2"/>
      <c r="U224" s="7"/>
      <c r="V224" s="37"/>
      <c r="W224" s="37"/>
      <c r="X224" s="37"/>
      <c r="Y224" s="37"/>
      <c r="Z224" s="37"/>
      <c r="AA224" s="37"/>
      <c r="AB224" s="37"/>
      <c r="AC224" s="37"/>
      <c r="AD224" s="37"/>
      <c r="AE224" s="6"/>
    </row>
    <row r="225" spans="4:31" s="1" customFormat="1" x14ac:dyDescent="0.25">
      <c r="D225" s="5"/>
      <c r="E225" s="2"/>
      <c r="F225" s="2"/>
      <c r="G225" s="2"/>
      <c r="H225" s="2"/>
      <c r="I225" s="2"/>
      <c r="J225" s="7"/>
      <c r="M225" s="2"/>
      <c r="N225" s="2"/>
      <c r="O225" s="7"/>
      <c r="P225" s="2"/>
      <c r="Q225" s="2"/>
      <c r="R225" s="2"/>
      <c r="S225" s="2"/>
      <c r="T225" s="2"/>
      <c r="U225" s="7"/>
      <c r="V225" s="37"/>
      <c r="W225" s="37"/>
      <c r="X225" s="37"/>
      <c r="Y225" s="37"/>
      <c r="Z225" s="37"/>
      <c r="AA225" s="37"/>
      <c r="AB225" s="37"/>
      <c r="AC225" s="37"/>
      <c r="AD225" s="37"/>
      <c r="AE225" s="6"/>
    </row>
    <row r="226" spans="4:31" s="1" customFormat="1" x14ac:dyDescent="0.25">
      <c r="D226" s="5"/>
      <c r="E226" s="2"/>
      <c r="F226" s="2"/>
      <c r="G226" s="2"/>
      <c r="H226" s="2"/>
      <c r="I226" s="2"/>
      <c r="J226" s="7"/>
      <c r="M226" s="2"/>
      <c r="N226" s="2"/>
      <c r="O226" s="7"/>
      <c r="P226" s="2"/>
      <c r="Q226" s="2"/>
      <c r="R226" s="2"/>
      <c r="S226" s="2"/>
      <c r="T226" s="2"/>
      <c r="U226" s="7"/>
      <c r="V226" s="37"/>
      <c r="W226" s="37"/>
      <c r="X226" s="37"/>
      <c r="Y226" s="37"/>
      <c r="Z226" s="37"/>
      <c r="AA226" s="37"/>
      <c r="AB226" s="37"/>
      <c r="AC226" s="37"/>
      <c r="AD226" s="37"/>
      <c r="AE226" s="6"/>
    </row>
    <row r="227" spans="4:31" s="1" customFormat="1" x14ac:dyDescent="0.25">
      <c r="D227" s="5"/>
      <c r="E227" s="2"/>
      <c r="F227" s="2"/>
      <c r="G227" s="2"/>
      <c r="H227" s="2"/>
      <c r="I227" s="2"/>
      <c r="J227" s="7"/>
      <c r="M227" s="2"/>
      <c r="N227" s="2"/>
      <c r="O227" s="7"/>
      <c r="P227" s="2"/>
      <c r="Q227" s="2"/>
      <c r="R227" s="2"/>
      <c r="S227" s="2"/>
      <c r="T227" s="2"/>
      <c r="U227" s="7"/>
      <c r="V227" s="37"/>
      <c r="W227" s="37"/>
      <c r="X227" s="37"/>
      <c r="Y227" s="37"/>
      <c r="Z227" s="37"/>
      <c r="AA227" s="37"/>
      <c r="AB227" s="37"/>
      <c r="AC227" s="37"/>
      <c r="AD227" s="37"/>
      <c r="AE227" s="6"/>
    </row>
    <row r="228" spans="4:31" s="1" customFormat="1" x14ac:dyDescent="0.25">
      <c r="D228" s="5"/>
      <c r="E228" s="2"/>
      <c r="F228" s="2"/>
      <c r="G228" s="2"/>
      <c r="H228" s="2"/>
      <c r="I228" s="2"/>
      <c r="J228" s="7"/>
      <c r="M228" s="2"/>
      <c r="N228" s="2"/>
      <c r="O228" s="7"/>
      <c r="P228" s="2"/>
      <c r="Q228" s="2"/>
      <c r="R228" s="2"/>
      <c r="S228" s="2"/>
      <c r="T228" s="2"/>
      <c r="U228" s="7"/>
      <c r="V228" s="37"/>
      <c r="W228" s="37"/>
      <c r="X228" s="37"/>
      <c r="Y228" s="37"/>
      <c r="Z228" s="37"/>
      <c r="AA228" s="37"/>
      <c r="AB228" s="37"/>
      <c r="AC228" s="37"/>
      <c r="AD228" s="37"/>
      <c r="AE228" s="6"/>
    </row>
    <row r="229" spans="4:31" s="1" customFormat="1" x14ac:dyDescent="0.25">
      <c r="D229" s="5"/>
      <c r="E229" s="2"/>
      <c r="F229" s="2"/>
      <c r="G229" s="2"/>
      <c r="H229" s="2"/>
      <c r="I229" s="2"/>
      <c r="J229" s="7"/>
      <c r="M229" s="2"/>
      <c r="N229" s="2"/>
      <c r="O229" s="7"/>
      <c r="P229" s="2"/>
      <c r="Q229" s="2"/>
      <c r="R229" s="2"/>
      <c r="S229" s="2"/>
      <c r="T229" s="2"/>
      <c r="U229" s="7"/>
      <c r="V229" s="37"/>
      <c r="W229" s="37"/>
      <c r="X229" s="37"/>
      <c r="Y229" s="37"/>
      <c r="Z229" s="37"/>
      <c r="AA229" s="37"/>
      <c r="AB229" s="37"/>
      <c r="AC229" s="37"/>
      <c r="AD229" s="37"/>
      <c r="AE229" s="6"/>
    </row>
    <row r="230" spans="4:31" s="1" customFormat="1" x14ac:dyDescent="0.25">
      <c r="D230" s="5"/>
      <c r="E230" s="2"/>
      <c r="F230" s="2"/>
      <c r="G230" s="2"/>
      <c r="H230" s="2"/>
      <c r="I230" s="2"/>
      <c r="J230" s="7"/>
      <c r="M230" s="2"/>
      <c r="N230" s="2"/>
      <c r="O230" s="7"/>
      <c r="P230" s="2"/>
      <c r="Q230" s="2"/>
      <c r="R230" s="2"/>
      <c r="S230" s="2"/>
      <c r="T230" s="2"/>
      <c r="U230" s="7"/>
      <c r="V230" s="37"/>
      <c r="W230" s="37"/>
      <c r="X230" s="37"/>
      <c r="Y230" s="37"/>
      <c r="Z230" s="37"/>
      <c r="AA230" s="37"/>
      <c r="AB230" s="37"/>
      <c r="AC230" s="37"/>
      <c r="AD230" s="37"/>
      <c r="AE230" s="6"/>
    </row>
    <row r="231" spans="4:31" s="1" customFormat="1" x14ac:dyDescent="0.25">
      <c r="D231" s="5"/>
      <c r="E231" s="2"/>
      <c r="F231" s="2"/>
      <c r="G231" s="2"/>
      <c r="H231" s="2"/>
      <c r="I231" s="2"/>
      <c r="J231" s="7"/>
      <c r="M231" s="2"/>
      <c r="N231" s="2"/>
      <c r="O231" s="7"/>
      <c r="P231" s="2"/>
      <c r="Q231" s="2"/>
      <c r="R231" s="2"/>
      <c r="S231" s="2"/>
      <c r="T231" s="2"/>
      <c r="U231" s="7"/>
      <c r="V231" s="37"/>
      <c r="W231" s="37"/>
      <c r="X231" s="37"/>
      <c r="Y231" s="37"/>
      <c r="Z231" s="37"/>
      <c r="AA231" s="37"/>
      <c r="AB231" s="37"/>
      <c r="AC231" s="37"/>
      <c r="AD231" s="37"/>
      <c r="AE231" s="6"/>
    </row>
    <row r="232" spans="4:31" s="1" customFormat="1" x14ac:dyDescent="0.25">
      <c r="D232" s="5"/>
      <c r="E232" s="2"/>
      <c r="F232" s="2"/>
      <c r="G232" s="2"/>
      <c r="H232" s="2"/>
      <c r="I232" s="2"/>
      <c r="J232" s="7"/>
      <c r="M232" s="2"/>
      <c r="N232" s="2"/>
      <c r="O232" s="7"/>
      <c r="P232" s="2"/>
      <c r="Q232" s="2"/>
      <c r="R232" s="2"/>
      <c r="S232" s="2"/>
      <c r="T232" s="2"/>
      <c r="U232" s="7"/>
      <c r="V232" s="37"/>
      <c r="W232" s="37"/>
      <c r="X232" s="37"/>
      <c r="Y232" s="37"/>
      <c r="Z232" s="37"/>
      <c r="AA232" s="37"/>
      <c r="AB232" s="37"/>
      <c r="AC232" s="37"/>
      <c r="AD232" s="37"/>
      <c r="AE232" s="6"/>
    </row>
    <row r="233" spans="4:31" s="1" customFormat="1" x14ac:dyDescent="0.25">
      <c r="D233" s="5"/>
      <c r="E233" s="2"/>
      <c r="F233" s="2"/>
      <c r="G233" s="2"/>
      <c r="H233" s="2"/>
      <c r="I233" s="2"/>
      <c r="J233" s="7"/>
      <c r="M233" s="2"/>
      <c r="N233" s="2"/>
      <c r="O233" s="7"/>
      <c r="P233" s="2"/>
      <c r="Q233" s="2"/>
      <c r="R233" s="2"/>
      <c r="S233" s="2"/>
      <c r="T233" s="2"/>
      <c r="U233" s="7"/>
      <c r="V233" s="37"/>
      <c r="W233" s="37"/>
      <c r="X233" s="37"/>
      <c r="Y233" s="37"/>
      <c r="Z233" s="37"/>
      <c r="AA233" s="37"/>
      <c r="AB233" s="37"/>
      <c r="AC233" s="37"/>
      <c r="AD233" s="37"/>
      <c r="AE233" s="6"/>
    </row>
    <row r="234" spans="4:31" s="1" customFormat="1" x14ac:dyDescent="0.25">
      <c r="D234" s="5"/>
      <c r="E234" s="2"/>
      <c r="F234" s="2"/>
      <c r="G234" s="2"/>
      <c r="H234" s="2"/>
      <c r="I234" s="2"/>
      <c r="J234" s="7"/>
      <c r="M234" s="2"/>
      <c r="N234" s="2"/>
      <c r="O234" s="7"/>
      <c r="P234" s="2"/>
      <c r="Q234" s="2"/>
      <c r="R234" s="2"/>
      <c r="S234" s="2"/>
      <c r="T234" s="2"/>
      <c r="U234" s="7"/>
      <c r="V234" s="37"/>
      <c r="W234" s="37"/>
      <c r="X234" s="37"/>
      <c r="Y234" s="37"/>
      <c r="Z234" s="37"/>
      <c r="AA234" s="37"/>
      <c r="AB234" s="37"/>
      <c r="AC234" s="37"/>
      <c r="AD234" s="37"/>
      <c r="AE234" s="6"/>
    </row>
    <row r="235" spans="4:31" s="1" customFormat="1" x14ac:dyDescent="0.25">
      <c r="D235" s="5"/>
      <c r="E235" s="2"/>
      <c r="F235" s="2"/>
      <c r="G235" s="2"/>
      <c r="H235" s="2"/>
      <c r="I235" s="2"/>
      <c r="J235" s="7"/>
      <c r="M235" s="2"/>
      <c r="N235" s="2"/>
      <c r="O235" s="7"/>
      <c r="P235" s="2"/>
      <c r="Q235" s="2"/>
      <c r="R235" s="2"/>
      <c r="S235" s="2"/>
      <c r="T235" s="2"/>
      <c r="U235" s="7"/>
      <c r="V235" s="37"/>
      <c r="W235" s="37"/>
      <c r="X235" s="37"/>
      <c r="Y235" s="37"/>
      <c r="Z235" s="37"/>
      <c r="AA235" s="37"/>
      <c r="AB235" s="37"/>
      <c r="AC235" s="37"/>
      <c r="AD235" s="37"/>
      <c r="AE235" s="6"/>
    </row>
    <row r="236" spans="4:31" s="1" customFormat="1" x14ac:dyDescent="0.25">
      <c r="D236" s="5"/>
      <c r="E236" s="2"/>
      <c r="F236" s="2"/>
      <c r="G236" s="2"/>
      <c r="H236" s="2"/>
      <c r="I236" s="2"/>
      <c r="J236" s="7"/>
      <c r="M236" s="2"/>
      <c r="N236" s="2"/>
      <c r="O236" s="7"/>
      <c r="P236" s="2"/>
      <c r="Q236" s="2"/>
      <c r="R236" s="2"/>
      <c r="S236" s="2"/>
      <c r="T236" s="2"/>
      <c r="U236" s="7"/>
      <c r="V236" s="37"/>
      <c r="W236" s="37"/>
      <c r="X236" s="37"/>
      <c r="Y236" s="37"/>
      <c r="Z236" s="37"/>
      <c r="AA236" s="37"/>
      <c r="AB236" s="37"/>
      <c r="AC236" s="37"/>
      <c r="AD236" s="37"/>
      <c r="AE236" s="6"/>
    </row>
    <row r="237" spans="4:31" s="1" customFormat="1" x14ac:dyDescent="0.25">
      <c r="D237" s="5"/>
      <c r="E237" s="2"/>
      <c r="F237" s="2"/>
      <c r="G237" s="2"/>
      <c r="H237" s="2"/>
      <c r="I237" s="2"/>
      <c r="J237" s="7"/>
      <c r="M237" s="2"/>
      <c r="N237" s="2"/>
      <c r="O237" s="7"/>
      <c r="P237" s="2"/>
      <c r="Q237" s="2"/>
      <c r="R237" s="2"/>
      <c r="S237" s="2"/>
      <c r="T237" s="2"/>
      <c r="U237" s="7"/>
      <c r="V237" s="37"/>
      <c r="W237" s="37"/>
      <c r="X237" s="37"/>
      <c r="Y237" s="37"/>
      <c r="Z237" s="37"/>
      <c r="AA237" s="37"/>
      <c r="AB237" s="37"/>
      <c r="AC237" s="37"/>
      <c r="AD237" s="37"/>
      <c r="AE237" s="6"/>
    </row>
    <row r="238" spans="4:31" s="1" customFormat="1" x14ac:dyDescent="0.25">
      <c r="D238" s="5"/>
      <c r="E238" s="2"/>
      <c r="F238" s="2"/>
      <c r="G238" s="2"/>
      <c r="H238" s="2"/>
      <c r="I238" s="2"/>
      <c r="J238" s="7"/>
      <c r="M238" s="2"/>
      <c r="N238" s="2"/>
      <c r="O238" s="7"/>
      <c r="P238" s="2"/>
      <c r="Q238" s="2"/>
      <c r="R238" s="2"/>
      <c r="S238" s="2"/>
      <c r="T238" s="2"/>
      <c r="U238" s="7"/>
      <c r="V238" s="37"/>
      <c r="W238" s="37"/>
      <c r="X238" s="37"/>
      <c r="Y238" s="37"/>
      <c r="Z238" s="37"/>
      <c r="AA238" s="37"/>
      <c r="AB238" s="37"/>
      <c r="AC238" s="37"/>
      <c r="AD238" s="37"/>
      <c r="AE238" s="6"/>
    </row>
    <row r="239" spans="4:31" s="1" customFormat="1" x14ac:dyDescent="0.25">
      <c r="D239" s="5"/>
      <c r="E239" s="2"/>
      <c r="F239" s="2"/>
      <c r="G239" s="2"/>
      <c r="H239" s="2"/>
      <c r="I239" s="2"/>
      <c r="J239" s="7"/>
      <c r="M239" s="2"/>
      <c r="N239" s="2"/>
      <c r="O239" s="7"/>
      <c r="P239" s="2"/>
      <c r="Q239" s="2"/>
      <c r="R239" s="2"/>
      <c r="S239" s="2"/>
      <c r="T239" s="2"/>
      <c r="U239" s="7"/>
      <c r="V239" s="37"/>
      <c r="W239" s="37"/>
      <c r="X239" s="37"/>
      <c r="Y239" s="37"/>
      <c r="Z239" s="37"/>
      <c r="AA239" s="37"/>
      <c r="AB239" s="37"/>
      <c r="AC239" s="37"/>
      <c r="AD239" s="37"/>
      <c r="AE239" s="6"/>
    </row>
    <row r="240" spans="4:31" s="1" customFormat="1" x14ac:dyDescent="0.25">
      <c r="D240" s="5"/>
      <c r="E240" s="2"/>
      <c r="F240" s="2"/>
      <c r="G240" s="2"/>
      <c r="H240" s="2"/>
      <c r="I240" s="2"/>
      <c r="J240" s="7"/>
      <c r="M240" s="2"/>
      <c r="N240" s="2"/>
      <c r="O240" s="7"/>
      <c r="P240" s="2"/>
      <c r="Q240" s="2"/>
      <c r="R240" s="2"/>
      <c r="S240" s="2"/>
      <c r="T240" s="2"/>
      <c r="U240" s="7"/>
      <c r="V240" s="37"/>
      <c r="W240" s="37"/>
      <c r="X240" s="37"/>
      <c r="Y240" s="37"/>
      <c r="Z240" s="37"/>
      <c r="AA240" s="37"/>
      <c r="AB240" s="37"/>
      <c r="AC240" s="37"/>
      <c r="AD240" s="37"/>
      <c r="AE240" s="6"/>
    </row>
    <row r="241" spans="4:31" s="1" customFormat="1" x14ac:dyDescent="0.25">
      <c r="D241" s="5"/>
      <c r="E241" s="2"/>
      <c r="F241" s="2"/>
      <c r="G241" s="2"/>
      <c r="H241" s="2"/>
      <c r="I241" s="2"/>
      <c r="J241" s="7"/>
      <c r="M241" s="2"/>
      <c r="N241" s="2"/>
      <c r="O241" s="7"/>
      <c r="P241" s="2"/>
      <c r="Q241" s="2"/>
      <c r="R241" s="2"/>
      <c r="S241" s="2"/>
      <c r="T241" s="2"/>
      <c r="U241" s="7"/>
      <c r="V241" s="37"/>
      <c r="W241" s="37"/>
      <c r="X241" s="37"/>
      <c r="Y241" s="37"/>
      <c r="Z241" s="37"/>
      <c r="AA241" s="37"/>
      <c r="AB241" s="37"/>
      <c r="AC241" s="37"/>
      <c r="AD241" s="37"/>
      <c r="AE241" s="6"/>
    </row>
    <row r="242" spans="4:31" s="1" customFormat="1" x14ac:dyDescent="0.25">
      <c r="D242" s="5"/>
      <c r="E242" s="2"/>
      <c r="F242" s="2"/>
      <c r="G242" s="2"/>
      <c r="H242" s="2"/>
      <c r="I242" s="2"/>
      <c r="J242" s="7"/>
      <c r="M242" s="2"/>
      <c r="N242" s="2"/>
      <c r="O242" s="7"/>
      <c r="P242" s="2"/>
      <c r="Q242" s="2"/>
      <c r="R242" s="2"/>
      <c r="S242" s="2"/>
      <c r="T242" s="2"/>
      <c r="U242" s="7"/>
      <c r="V242" s="37"/>
      <c r="W242" s="37"/>
      <c r="X242" s="37"/>
      <c r="Y242" s="37"/>
      <c r="Z242" s="37"/>
      <c r="AA242" s="37"/>
      <c r="AB242" s="37"/>
      <c r="AC242" s="37"/>
      <c r="AD242" s="37"/>
      <c r="AE242" s="6"/>
    </row>
    <row r="243" spans="4:31" s="1" customFormat="1" x14ac:dyDescent="0.25">
      <c r="D243" s="5"/>
      <c r="E243" s="2"/>
      <c r="F243" s="2"/>
      <c r="G243" s="2"/>
      <c r="H243" s="2"/>
      <c r="I243" s="2"/>
      <c r="J243" s="7"/>
      <c r="M243" s="2"/>
      <c r="N243" s="2"/>
      <c r="O243" s="7"/>
      <c r="P243" s="2"/>
      <c r="Q243" s="2"/>
      <c r="R243" s="2"/>
      <c r="S243" s="2"/>
      <c r="T243" s="2"/>
      <c r="U243" s="7"/>
      <c r="V243" s="37"/>
      <c r="W243" s="37"/>
      <c r="X243" s="37"/>
      <c r="Y243" s="37"/>
      <c r="Z243" s="37"/>
      <c r="AA243" s="37"/>
      <c r="AB243" s="37"/>
      <c r="AC243" s="37"/>
      <c r="AD243" s="37"/>
      <c r="AE243" s="6"/>
    </row>
    <row r="244" spans="4:31" s="1" customFormat="1" x14ac:dyDescent="0.25">
      <c r="D244" s="5"/>
      <c r="E244" s="2"/>
      <c r="F244" s="2"/>
      <c r="G244" s="2"/>
      <c r="H244" s="2"/>
      <c r="I244" s="2"/>
      <c r="J244" s="7"/>
      <c r="M244" s="2"/>
      <c r="N244" s="2"/>
      <c r="O244" s="7"/>
      <c r="P244" s="2"/>
      <c r="Q244" s="2"/>
      <c r="R244" s="2"/>
      <c r="S244" s="2"/>
      <c r="T244" s="2"/>
      <c r="U244" s="7"/>
      <c r="V244" s="37"/>
      <c r="W244" s="37"/>
      <c r="X244" s="37"/>
      <c r="Y244" s="37"/>
      <c r="Z244" s="37"/>
      <c r="AA244" s="37"/>
      <c r="AB244" s="37"/>
      <c r="AC244" s="37"/>
      <c r="AD244" s="37"/>
      <c r="AE244" s="6"/>
    </row>
    <row r="245" spans="4:31" s="1" customFormat="1" x14ac:dyDescent="0.25">
      <c r="D245" s="5"/>
      <c r="E245" s="2"/>
      <c r="F245" s="2"/>
      <c r="G245" s="2"/>
      <c r="H245" s="2"/>
      <c r="I245" s="2"/>
      <c r="J245" s="7"/>
      <c r="M245" s="2"/>
      <c r="N245" s="2"/>
      <c r="O245" s="7"/>
      <c r="P245" s="2"/>
      <c r="Q245" s="2"/>
      <c r="R245" s="2"/>
      <c r="S245" s="2"/>
      <c r="T245" s="2"/>
      <c r="U245" s="7"/>
      <c r="V245" s="37"/>
      <c r="W245" s="37"/>
      <c r="X245" s="37"/>
      <c r="Y245" s="37"/>
      <c r="Z245" s="37"/>
      <c r="AA245" s="37"/>
      <c r="AB245" s="37"/>
      <c r="AC245" s="37"/>
      <c r="AD245" s="37"/>
      <c r="AE245" s="6"/>
    </row>
    <row r="246" spans="4:31" s="1" customFormat="1" x14ac:dyDescent="0.25">
      <c r="D246" s="5"/>
      <c r="E246" s="2"/>
      <c r="F246" s="2"/>
      <c r="G246" s="2"/>
      <c r="H246" s="2"/>
      <c r="I246" s="2"/>
      <c r="J246" s="7"/>
      <c r="M246" s="2"/>
      <c r="N246" s="2"/>
      <c r="O246" s="7"/>
      <c r="P246" s="2"/>
      <c r="Q246" s="2"/>
      <c r="R246" s="2"/>
      <c r="S246" s="2"/>
      <c r="T246" s="2"/>
      <c r="U246" s="7"/>
      <c r="V246" s="37"/>
      <c r="W246" s="37"/>
      <c r="X246" s="37"/>
      <c r="Y246" s="37"/>
      <c r="Z246" s="37"/>
      <c r="AA246" s="37"/>
      <c r="AB246" s="37"/>
      <c r="AC246" s="37"/>
      <c r="AD246" s="37"/>
      <c r="AE246" s="6"/>
    </row>
    <row r="247" spans="4:31" s="1" customFormat="1" x14ac:dyDescent="0.25">
      <c r="D247" s="5"/>
      <c r="E247" s="2"/>
      <c r="F247" s="2"/>
      <c r="G247" s="2"/>
      <c r="H247" s="2"/>
      <c r="I247" s="2"/>
      <c r="J247" s="7"/>
      <c r="M247" s="2"/>
      <c r="N247" s="2"/>
      <c r="O247" s="7"/>
      <c r="P247" s="2"/>
      <c r="Q247" s="2"/>
      <c r="R247" s="2"/>
      <c r="S247" s="2"/>
      <c r="T247" s="2"/>
      <c r="U247" s="7"/>
      <c r="V247" s="37"/>
      <c r="W247" s="37"/>
      <c r="X247" s="37"/>
      <c r="Y247" s="37"/>
      <c r="Z247" s="37"/>
      <c r="AA247" s="37"/>
      <c r="AB247" s="37"/>
      <c r="AC247" s="37"/>
      <c r="AD247" s="37"/>
      <c r="AE247" s="6"/>
    </row>
    <row r="248" spans="4:31" s="1" customFormat="1" x14ac:dyDescent="0.25">
      <c r="D248" s="5"/>
      <c r="E248" s="2"/>
      <c r="F248" s="2"/>
      <c r="G248" s="2"/>
      <c r="H248" s="2"/>
      <c r="I248" s="2"/>
      <c r="J248" s="7"/>
      <c r="M248" s="2"/>
      <c r="N248" s="2"/>
      <c r="O248" s="7"/>
      <c r="P248" s="2"/>
      <c r="Q248" s="2"/>
      <c r="R248" s="2"/>
      <c r="S248" s="2"/>
      <c r="T248" s="2"/>
      <c r="U248" s="7"/>
      <c r="V248" s="37"/>
      <c r="W248" s="37"/>
      <c r="X248" s="37"/>
      <c r="Y248" s="37"/>
      <c r="Z248" s="37"/>
      <c r="AA248" s="37"/>
      <c r="AB248" s="37"/>
      <c r="AC248" s="37"/>
      <c r="AD248" s="37"/>
      <c r="AE248" s="6"/>
    </row>
    <row r="249" spans="4:31" s="1" customFormat="1" x14ac:dyDescent="0.25">
      <c r="D249" s="5"/>
      <c r="E249" s="2"/>
      <c r="F249" s="2"/>
      <c r="G249" s="2"/>
      <c r="H249" s="2"/>
      <c r="I249" s="2"/>
      <c r="J249" s="7"/>
      <c r="M249" s="2"/>
      <c r="N249" s="2"/>
      <c r="O249" s="7"/>
      <c r="P249" s="2"/>
      <c r="Q249" s="2"/>
      <c r="R249" s="2"/>
      <c r="S249" s="2"/>
      <c r="T249" s="2"/>
      <c r="U249" s="7"/>
      <c r="V249" s="37"/>
      <c r="W249" s="37"/>
      <c r="X249" s="37"/>
      <c r="Y249" s="37"/>
      <c r="Z249" s="37"/>
      <c r="AA249" s="37"/>
      <c r="AB249" s="37"/>
      <c r="AC249" s="37"/>
      <c r="AD249" s="37"/>
      <c r="AE249" s="6"/>
    </row>
    <row r="250" spans="4:31" s="1" customFormat="1" x14ac:dyDescent="0.25">
      <c r="D250" s="5"/>
      <c r="E250" s="2"/>
      <c r="F250" s="2"/>
      <c r="G250" s="2"/>
      <c r="H250" s="2"/>
      <c r="I250" s="2"/>
      <c r="J250" s="7"/>
      <c r="M250" s="2"/>
      <c r="N250" s="2"/>
      <c r="O250" s="7"/>
      <c r="P250" s="2"/>
      <c r="Q250" s="2"/>
      <c r="R250" s="2"/>
      <c r="S250" s="2"/>
      <c r="T250" s="2"/>
      <c r="U250" s="7"/>
      <c r="V250" s="37"/>
      <c r="W250" s="37"/>
      <c r="X250" s="37"/>
      <c r="Y250" s="37"/>
      <c r="Z250" s="37"/>
      <c r="AA250" s="37"/>
      <c r="AB250" s="37"/>
      <c r="AC250" s="37"/>
      <c r="AD250" s="37"/>
      <c r="AE250" s="6"/>
    </row>
    <row r="251" spans="4:31" s="1" customFormat="1" x14ac:dyDescent="0.25">
      <c r="D251" s="5"/>
      <c r="E251" s="2"/>
      <c r="F251" s="2"/>
      <c r="G251" s="2"/>
      <c r="H251" s="2"/>
      <c r="I251" s="2"/>
      <c r="J251" s="7"/>
      <c r="M251" s="2"/>
      <c r="N251" s="2"/>
      <c r="O251" s="7"/>
      <c r="P251" s="2"/>
      <c r="Q251" s="2"/>
      <c r="R251" s="2"/>
      <c r="S251" s="2"/>
      <c r="T251" s="2"/>
      <c r="U251" s="7"/>
      <c r="V251" s="37"/>
      <c r="W251" s="37"/>
      <c r="X251" s="37"/>
      <c r="Y251" s="37"/>
      <c r="Z251" s="37"/>
      <c r="AA251" s="37"/>
      <c r="AB251" s="37"/>
      <c r="AC251" s="37"/>
      <c r="AD251" s="37"/>
      <c r="AE251" s="6"/>
    </row>
    <row r="252" spans="4:31" s="1" customFormat="1" x14ac:dyDescent="0.25">
      <c r="D252" s="5"/>
      <c r="E252" s="2"/>
      <c r="F252" s="2"/>
      <c r="G252" s="2"/>
      <c r="H252" s="2"/>
      <c r="I252" s="2"/>
      <c r="J252" s="7"/>
      <c r="M252" s="2"/>
      <c r="N252" s="2"/>
      <c r="O252" s="7"/>
      <c r="P252" s="2"/>
      <c r="Q252" s="2"/>
      <c r="R252" s="2"/>
      <c r="S252" s="2"/>
      <c r="T252" s="2"/>
      <c r="U252" s="7"/>
      <c r="V252" s="37"/>
      <c r="W252" s="37"/>
      <c r="X252" s="37"/>
      <c r="Y252" s="37"/>
      <c r="Z252" s="37"/>
      <c r="AA252" s="37"/>
      <c r="AB252" s="37"/>
      <c r="AC252" s="37"/>
      <c r="AD252" s="37"/>
      <c r="AE252" s="6"/>
    </row>
    <row r="253" spans="4:31" s="1" customFormat="1" x14ac:dyDescent="0.25">
      <c r="D253" s="5"/>
      <c r="E253" s="2"/>
      <c r="F253" s="2"/>
      <c r="G253" s="2"/>
      <c r="H253" s="2"/>
      <c r="I253" s="2"/>
      <c r="J253" s="7"/>
      <c r="M253" s="2"/>
      <c r="N253" s="2"/>
      <c r="O253" s="7"/>
      <c r="P253" s="2"/>
      <c r="Q253" s="2"/>
      <c r="R253" s="2"/>
      <c r="S253" s="2"/>
      <c r="T253" s="2"/>
      <c r="U253" s="7"/>
      <c r="V253" s="37"/>
      <c r="W253" s="37"/>
      <c r="X253" s="37"/>
      <c r="Y253" s="37"/>
      <c r="Z253" s="37"/>
      <c r="AA253" s="37"/>
      <c r="AB253" s="37"/>
      <c r="AC253" s="37"/>
      <c r="AD253" s="37"/>
      <c r="AE253" s="6"/>
    </row>
    <row r="254" spans="4:31" s="1" customFormat="1" x14ac:dyDescent="0.25">
      <c r="D254" s="5"/>
      <c r="E254" s="2"/>
      <c r="F254" s="2"/>
      <c r="G254" s="2"/>
      <c r="H254" s="2"/>
      <c r="I254" s="2"/>
      <c r="J254" s="7"/>
      <c r="M254" s="2"/>
      <c r="N254" s="2"/>
      <c r="O254" s="7"/>
      <c r="P254" s="2"/>
      <c r="Q254" s="2"/>
      <c r="R254" s="2"/>
      <c r="S254" s="2"/>
      <c r="T254" s="2"/>
      <c r="U254" s="7"/>
      <c r="V254" s="37"/>
      <c r="W254" s="37"/>
      <c r="X254" s="37"/>
      <c r="Y254" s="37"/>
      <c r="Z254" s="37"/>
      <c r="AA254" s="37"/>
      <c r="AB254" s="37"/>
      <c r="AC254" s="37"/>
      <c r="AD254" s="37"/>
      <c r="AE254" s="6"/>
    </row>
    <row r="255" spans="4:31" s="1" customFormat="1" x14ac:dyDescent="0.25">
      <c r="D255" s="5"/>
      <c r="E255" s="2"/>
      <c r="F255" s="2"/>
      <c r="G255" s="2"/>
      <c r="H255" s="2"/>
      <c r="I255" s="2"/>
      <c r="J255" s="7"/>
      <c r="M255" s="2"/>
      <c r="N255" s="2"/>
      <c r="O255" s="7"/>
      <c r="P255" s="2"/>
      <c r="Q255" s="2"/>
      <c r="R255" s="2"/>
      <c r="S255" s="2"/>
      <c r="T255" s="2"/>
      <c r="U255" s="7"/>
      <c r="V255" s="37"/>
      <c r="W255" s="37"/>
      <c r="X255" s="37"/>
      <c r="Y255" s="37"/>
      <c r="Z255" s="37"/>
      <c r="AA255" s="37"/>
      <c r="AB255" s="37"/>
      <c r="AC255" s="37"/>
      <c r="AD255" s="37"/>
      <c r="AE255" s="6"/>
    </row>
    <row r="256" spans="4:31" s="1" customFormat="1" x14ac:dyDescent="0.25">
      <c r="D256" s="5"/>
      <c r="E256" s="2"/>
      <c r="F256" s="2"/>
      <c r="G256" s="2"/>
      <c r="H256" s="2"/>
      <c r="I256" s="2"/>
      <c r="J256" s="7"/>
      <c r="M256" s="2"/>
      <c r="N256" s="2"/>
      <c r="O256" s="7"/>
      <c r="P256" s="2"/>
      <c r="Q256" s="2"/>
      <c r="R256" s="2"/>
      <c r="S256" s="2"/>
      <c r="T256" s="2"/>
      <c r="U256" s="7"/>
      <c r="V256" s="37"/>
      <c r="W256" s="37"/>
      <c r="X256" s="37"/>
      <c r="Y256" s="37"/>
      <c r="Z256" s="37"/>
      <c r="AA256" s="37"/>
      <c r="AB256" s="37"/>
      <c r="AC256" s="37"/>
      <c r="AD256" s="37"/>
      <c r="AE256" s="6"/>
    </row>
    <row r="257" spans="4:31" s="1" customFormat="1" x14ac:dyDescent="0.25">
      <c r="D257" s="5"/>
      <c r="E257" s="2"/>
      <c r="F257" s="2"/>
      <c r="G257" s="2"/>
      <c r="H257" s="2"/>
      <c r="I257" s="2"/>
      <c r="J257" s="7"/>
      <c r="M257" s="2"/>
      <c r="N257" s="2"/>
      <c r="O257" s="7"/>
      <c r="P257" s="2"/>
      <c r="Q257" s="2"/>
      <c r="R257" s="2"/>
      <c r="S257" s="2"/>
      <c r="T257" s="2"/>
      <c r="U257" s="7"/>
      <c r="V257" s="37"/>
      <c r="W257" s="37"/>
      <c r="X257" s="37"/>
      <c r="Y257" s="37"/>
      <c r="Z257" s="37"/>
      <c r="AA257" s="37"/>
      <c r="AB257" s="37"/>
      <c r="AC257" s="37"/>
      <c r="AD257" s="37"/>
      <c r="AE257" s="6"/>
    </row>
    <row r="258" spans="4:31" s="1" customFormat="1" x14ac:dyDescent="0.25">
      <c r="D258" s="5"/>
      <c r="E258" s="2"/>
      <c r="F258" s="2"/>
      <c r="G258" s="2"/>
      <c r="H258" s="2"/>
      <c r="I258" s="2"/>
      <c r="J258" s="7"/>
      <c r="M258" s="2"/>
      <c r="N258" s="2"/>
      <c r="O258" s="7"/>
      <c r="P258" s="2"/>
      <c r="Q258" s="2"/>
      <c r="R258" s="2"/>
      <c r="S258" s="2"/>
      <c r="T258" s="2"/>
      <c r="U258" s="7"/>
      <c r="V258" s="37"/>
      <c r="W258" s="37"/>
      <c r="X258" s="37"/>
      <c r="Y258" s="37"/>
      <c r="Z258" s="37"/>
      <c r="AA258" s="37"/>
      <c r="AB258" s="37"/>
      <c r="AC258" s="37"/>
      <c r="AD258" s="37"/>
      <c r="AE258" s="6"/>
    </row>
    <row r="259" spans="4:31" s="1" customFormat="1" x14ac:dyDescent="0.25">
      <c r="D259" s="5"/>
      <c r="E259" s="2"/>
      <c r="F259" s="2"/>
      <c r="G259" s="2"/>
      <c r="H259" s="2"/>
      <c r="I259" s="2"/>
      <c r="J259" s="7"/>
      <c r="M259" s="2"/>
      <c r="N259" s="2"/>
      <c r="O259" s="7"/>
      <c r="P259" s="2"/>
      <c r="Q259" s="2"/>
      <c r="R259" s="2"/>
      <c r="S259" s="2"/>
      <c r="T259" s="2"/>
      <c r="U259" s="7"/>
      <c r="V259" s="37"/>
      <c r="W259" s="37"/>
      <c r="X259" s="37"/>
      <c r="Y259" s="37"/>
      <c r="Z259" s="37"/>
      <c r="AA259" s="37"/>
      <c r="AB259" s="37"/>
      <c r="AC259" s="37"/>
      <c r="AD259" s="37"/>
      <c r="AE259" s="6"/>
    </row>
    <row r="260" spans="4:31" s="1" customFormat="1" x14ac:dyDescent="0.25">
      <c r="D260" s="5"/>
      <c r="E260" s="2"/>
      <c r="F260" s="2"/>
      <c r="G260" s="2"/>
      <c r="H260" s="2"/>
      <c r="I260" s="2"/>
      <c r="J260" s="7"/>
      <c r="M260" s="2"/>
      <c r="N260" s="2"/>
      <c r="O260" s="7"/>
      <c r="P260" s="2"/>
      <c r="Q260" s="2"/>
      <c r="R260" s="2"/>
      <c r="S260" s="2"/>
      <c r="T260" s="2"/>
      <c r="U260" s="7"/>
      <c r="V260" s="37"/>
      <c r="W260" s="37"/>
      <c r="X260" s="37"/>
      <c r="Y260" s="37"/>
      <c r="Z260" s="37"/>
      <c r="AA260" s="37"/>
      <c r="AB260" s="37"/>
      <c r="AC260" s="37"/>
      <c r="AD260" s="37"/>
      <c r="AE260" s="6"/>
    </row>
    <row r="261" spans="4:31" s="1" customFormat="1" x14ac:dyDescent="0.25">
      <c r="D261" s="5"/>
      <c r="E261" s="2"/>
      <c r="F261" s="2"/>
      <c r="G261" s="2"/>
      <c r="H261" s="2"/>
      <c r="I261" s="2"/>
      <c r="J261" s="7"/>
      <c r="M261" s="2"/>
      <c r="N261" s="2"/>
      <c r="O261" s="7"/>
      <c r="P261" s="2"/>
      <c r="Q261" s="2"/>
      <c r="R261" s="2"/>
      <c r="S261" s="2"/>
      <c r="T261" s="2"/>
      <c r="U261" s="7"/>
      <c r="V261" s="37"/>
      <c r="W261" s="37"/>
      <c r="X261" s="37"/>
      <c r="Y261" s="37"/>
      <c r="Z261" s="37"/>
      <c r="AA261" s="37"/>
      <c r="AB261" s="37"/>
      <c r="AC261" s="37"/>
      <c r="AD261" s="37"/>
      <c r="AE261" s="6"/>
    </row>
    <row r="262" spans="4:31" s="1" customFormat="1" x14ac:dyDescent="0.25">
      <c r="D262" s="5"/>
      <c r="E262" s="2"/>
      <c r="F262" s="2"/>
      <c r="G262" s="2"/>
      <c r="H262" s="2"/>
      <c r="I262" s="2"/>
      <c r="J262" s="7"/>
      <c r="M262" s="2"/>
      <c r="N262" s="2"/>
      <c r="O262" s="7"/>
      <c r="P262" s="2"/>
      <c r="Q262" s="2"/>
      <c r="R262" s="2"/>
      <c r="S262" s="2"/>
      <c r="T262" s="2"/>
      <c r="U262" s="7"/>
      <c r="V262" s="37"/>
      <c r="W262" s="37"/>
      <c r="X262" s="37"/>
      <c r="Y262" s="37"/>
      <c r="Z262" s="37"/>
      <c r="AA262" s="37"/>
      <c r="AB262" s="37"/>
      <c r="AC262" s="37"/>
      <c r="AD262" s="37"/>
      <c r="AE262" s="6"/>
    </row>
    <row r="263" spans="4:31" s="1" customFormat="1" x14ac:dyDescent="0.25">
      <c r="D263" s="5"/>
      <c r="E263" s="2"/>
      <c r="F263" s="2"/>
      <c r="G263" s="2"/>
      <c r="H263" s="2"/>
      <c r="I263" s="2"/>
      <c r="J263" s="7"/>
      <c r="M263" s="2"/>
      <c r="N263" s="2"/>
      <c r="O263" s="7"/>
      <c r="P263" s="2"/>
      <c r="Q263" s="2"/>
      <c r="R263" s="2"/>
      <c r="S263" s="2"/>
      <c r="T263" s="2"/>
      <c r="U263" s="7"/>
      <c r="V263" s="37"/>
      <c r="W263" s="37"/>
      <c r="X263" s="37"/>
      <c r="Y263" s="37"/>
      <c r="Z263" s="37"/>
      <c r="AA263" s="37"/>
      <c r="AB263" s="37"/>
      <c r="AC263" s="37"/>
      <c r="AD263" s="37"/>
      <c r="AE263" s="6"/>
    </row>
    <row r="264" spans="4:31" s="1" customFormat="1" x14ac:dyDescent="0.25">
      <c r="D264" s="5"/>
      <c r="E264" s="2"/>
      <c r="F264" s="2"/>
      <c r="G264" s="2"/>
      <c r="H264" s="2"/>
      <c r="I264" s="2"/>
      <c r="J264" s="7"/>
      <c r="M264" s="2"/>
      <c r="N264" s="2"/>
      <c r="O264" s="7"/>
      <c r="P264" s="2"/>
      <c r="Q264" s="2"/>
      <c r="R264" s="2"/>
      <c r="S264" s="2"/>
      <c r="T264" s="2"/>
      <c r="U264" s="7"/>
      <c r="V264" s="37"/>
      <c r="W264" s="37"/>
      <c r="X264" s="37"/>
      <c r="Y264" s="37"/>
      <c r="Z264" s="37"/>
      <c r="AA264" s="37"/>
      <c r="AB264" s="37"/>
      <c r="AC264" s="37"/>
      <c r="AD264" s="37"/>
      <c r="AE264" s="6"/>
    </row>
    <row r="265" spans="4:31" s="1" customFormat="1" x14ac:dyDescent="0.25">
      <c r="D265" s="5"/>
      <c r="E265" s="2"/>
      <c r="F265" s="2"/>
      <c r="G265" s="2"/>
      <c r="H265" s="2"/>
      <c r="I265" s="2"/>
      <c r="J265" s="7"/>
      <c r="M265" s="2"/>
      <c r="N265" s="2"/>
      <c r="O265" s="7"/>
      <c r="P265" s="2"/>
      <c r="Q265" s="2"/>
      <c r="R265" s="2"/>
      <c r="S265" s="2"/>
      <c r="T265" s="2"/>
      <c r="U265" s="7"/>
      <c r="V265" s="37"/>
      <c r="W265" s="37"/>
      <c r="X265" s="37"/>
      <c r="Y265" s="37"/>
      <c r="Z265" s="37"/>
      <c r="AA265" s="37"/>
      <c r="AB265" s="37"/>
      <c r="AC265" s="37"/>
      <c r="AD265" s="37"/>
      <c r="AE265" s="6"/>
    </row>
    <row r="266" spans="4:31" s="1" customFormat="1" x14ac:dyDescent="0.25">
      <c r="D266" s="5"/>
      <c r="E266" s="2"/>
      <c r="F266" s="2"/>
      <c r="G266" s="2"/>
      <c r="H266" s="2"/>
      <c r="I266" s="2"/>
      <c r="J266" s="7"/>
      <c r="M266" s="2"/>
      <c r="N266" s="2"/>
      <c r="O266" s="7"/>
      <c r="P266" s="2"/>
      <c r="Q266" s="2"/>
      <c r="R266" s="2"/>
      <c r="S266" s="2"/>
      <c r="T266" s="2"/>
      <c r="U266" s="7"/>
      <c r="V266" s="37"/>
      <c r="W266" s="37"/>
      <c r="X266" s="37"/>
      <c r="Y266" s="37"/>
      <c r="Z266" s="37"/>
      <c r="AA266" s="37"/>
      <c r="AB266" s="37"/>
      <c r="AC266" s="37"/>
      <c r="AD266" s="37"/>
      <c r="AE266" s="6"/>
    </row>
    <row r="267" spans="4:31" s="1" customFormat="1" x14ac:dyDescent="0.25">
      <c r="D267" s="5"/>
      <c r="E267" s="2"/>
      <c r="F267" s="2"/>
      <c r="G267" s="2"/>
      <c r="H267" s="2"/>
      <c r="I267" s="2"/>
      <c r="J267" s="7"/>
      <c r="M267" s="2"/>
      <c r="N267" s="2"/>
      <c r="O267" s="7"/>
      <c r="P267" s="2"/>
      <c r="Q267" s="2"/>
      <c r="R267" s="2"/>
      <c r="S267" s="2"/>
      <c r="T267" s="2"/>
      <c r="U267" s="7"/>
      <c r="V267" s="37"/>
      <c r="W267" s="37"/>
      <c r="X267" s="37"/>
      <c r="Y267" s="37"/>
      <c r="Z267" s="37"/>
      <c r="AA267" s="37"/>
      <c r="AB267" s="37"/>
      <c r="AC267" s="37"/>
      <c r="AD267" s="37"/>
      <c r="AE267" s="6"/>
    </row>
    <row r="268" spans="4:31" s="1" customFormat="1" x14ac:dyDescent="0.25">
      <c r="D268" s="5"/>
      <c r="E268" s="2"/>
      <c r="F268" s="2"/>
      <c r="G268" s="2"/>
      <c r="H268" s="2"/>
      <c r="I268" s="2"/>
      <c r="J268" s="7"/>
      <c r="M268" s="2"/>
      <c r="N268" s="2"/>
      <c r="O268" s="7"/>
      <c r="P268" s="2"/>
      <c r="Q268" s="2"/>
      <c r="R268" s="2"/>
      <c r="S268" s="2"/>
      <c r="T268" s="2"/>
      <c r="U268" s="7"/>
      <c r="V268" s="37"/>
      <c r="W268" s="37"/>
      <c r="X268" s="37"/>
      <c r="Y268" s="37"/>
      <c r="Z268" s="37"/>
      <c r="AA268" s="37"/>
      <c r="AB268" s="37"/>
      <c r="AC268" s="37"/>
      <c r="AD268" s="37"/>
      <c r="AE268" s="6"/>
    </row>
    <row r="269" spans="4:31" s="1" customFormat="1" x14ac:dyDescent="0.25">
      <c r="D269" s="5"/>
      <c r="E269" s="2"/>
      <c r="F269" s="2"/>
      <c r="G269" s="2"/>
      <c r="H269" s="2"/>
      <c r="I269" s="2"/>
      <c r="J269" s="7"/>
      <c r="M269" s="2"/>
      <c r="N269" s="2"/>
      <c r="O269" s="7"/>
      <c r="P269" s="2"/>
      <c r="Q269" s="2"/>
      <c r="R269" s="2"/>
      <c r="S269" s="2"/>
      <c r="T269" s="2"/>
      <c r="U269" s="7"/>
      <c r="V269" s="37"/>
      <c r="W269" s="37"/>
      <c r="X269" s="37"/>
      <c r="Y269" s="37"/>
      <c r="Z269" s="37"/>
      <c r="AA269" s="37"/>
      <c r="AB269" s="37"/>
      <c r="AC269" s="37"/>
      <c r="AD269" s="37"/>
      <c r="AE269" s="6"/>
    </row>
    <row r="270" spans="4:31" s="1" customFormat="1" x14ac:dyDescent="0.25">
      <c r="D270" s="5"/>
      <c r="E270" s="2"/>
      <c r="F270" s="2"/>
      <c r="G270" s="2"/>
      <c r="H270" s="2"/>
      <c r="I270" s="2"/>
      <c r="J270" s="7"/>
      <c r="M270" s="2"/>
      <c r="N270" s="2"/>
      <c r="O270" s="7"/>
      <c r="P270" s="2"/>
      <c r="Q270" s="2"/>
      <c r="R270" s="2"/>
      <c r="S270" s="2"/>
      <c r="T270" s="2"/>
      <c r="U270" s="7"/>
      <c r="V270" s="37"/>
      <c r="W270" s="37"/>
      <c r="X270" s="37"/>
      <c r="Y270" s="37"/>
      <c r="Z270" s="37"/>
      <c r="AA270" s="37"/>
      <c r="AB270" s="37"/>
      <c r="AC270" s="37"/>
      <c r="AD270" s="37"/>
      <c r="AE270" s="6"/>
    </row>
    <row r="271" spans="4:31" s="1" customFormat="1" x14ac:dyDescent="0.25">
      <c r="D271" s="5"/>
      <c r="E271" s="2"/>
      <c r="F271" s="2"/>
      <c r="G271" s="2"/>
      <c r="H271" s="2"/>
      <c r="I271" s="2"/>
      <c r="J271" s="7"/>
      <c r="M271" s="2"/>
      <c r="N271" s="2"/>
      <c r="O271" s="7"/>
      <c r="P271" s="2"/>
      <c r="Q271" s="2"/>
      <c r="R271" s="2"/>
      <c r="S271" s="2"/>
      <c r="T271" s="2"/>
      <c r="U271" s="7"/>
      <c r="V271" s="37"/>
      <c r="W271" s="37"/>
      <c r="X271" s="37"/>
      <c r="Y271" s="37"/>
      <c r="Z271" s="37"/>
      <c r="AA271" s="37"/>
      <c r="AB271" s="37"/>
      <c r="AC271" s="37"/>
      <c r="AD271" s="37"/>
      <c r="AE271" s="6"/>
    </row>
    <row r="272" spans="4:31" s="1" customFormat="1" x14ac:dyDescent="0.25">
      <c r="D272" s="5"/>
      <c r="E272" s="2"/>
      <c r="F272" s="2"/>
      <c r="G272" s="2"/>
      <c r="H272" s="2"/>
      <c r="I272" s="2"/>
      <c r="J272" s="7"/>
      <c r="M272" s="2"/>
      <c r="N272" s="2"/>
      <c r="O272" s="7"/>
      <c r="P272" s="2"/>
      <c r="Q272" s="2"/>
      <c r="R272" s="2"/>
      <c r="S272" s="2"/>
      <c r="T272" s="2"/>
      <c r="U272" s="7"/>
      <c r="V272" s="37"/>
      <c r="W272" s="37"/>
      <c r="X272" s="37"/>
      <c r="Y272" s="37"/>
      <c r="Z272" s="37"/>
      <c r="AA272" s="37"/>
      <c r="AB272" s="37"/>
      <c r="AC272" s="37"/>
      <c r="AD272" s="37"/>
      <c r="AE272" s="6"/>
    </row>
    <row r="273" spans="4:31" s="1" customFormat="1" x14ac:dyDescent="0.25">
      <c r="D273" s="5"/>
      <c r="E273" s="2"/>
      <c r="F273" s="2"/>
      <c r="G273" s="2"/>
      <c r="H273" s="2"/>
      <c r="I273" s="2"/>
      <c r="J273" s="7"/>
      <c r="M273" s="2"/>
      <c r="N273" s="2"/>
      <c r="O273" s="7"/>
      <c r="P273" s="2"/>
      <c r="Q273" s="2"/>
      <c r="R273" s="2"/>
      <c r="S273" s="2"/>
      <c r="T273" s="2"/>
      <c r="U273" s="7"/>
      <c r="V273" s="37"/>
      <c r="W273" s="37"/>
      <c r="X273" s="37"/>
      <c r="Y273" s="37"/>
      <c r="Z273" s="37"/>
      <c r="AA273" s="37"/>
      <c r="AB273" s="37"/>
      <c r="AC273" s="37"/>
      <c r="AD273" s="37"/>
      <c r="AE273" s="6"/>
    </row>
    <row r="274" spans="4:31" s="1" customFormat="1" x14ac:dyDescent="0.25">
      <c r="D274" s="5"/>
      <c r="E274" s="2"/>
      <c r="F274" s="2"/>
      <c r="G274" s="2"/>
      <c r="H274" s="2"/>
      <c r="I274" s="2"/>
      <c r="J274" s="7"/>
      <c r="M274" s="2"/>
      <c r="N274" s="2"/>
      <c r="O274" s="7"/>
      <c r="P274" s="2"/>
      <c r="Q274" s="2"/>
      <c r="R274" s="2"/>
      <c r="S274" s="2"/>
      <c r="T274" s="2"/>
      <c r="U274" s="7"/>
      <c r="V274" s="37"/>
      <c r="W274" s="37"/>
      <c r="X274" s="37"/>
      <c r="Y274" s="37"/>
      <c r="Z274" s="37"/>
      <c r="AA274" s="37"/>
      <c r="AB274" s="37"/>
      <c r="AC274" s="37"/>
      <c r="AD274" s="37"/>
      <c r="AE274" s="6"/>
    </row>
    <row r="275" spans="4:31" s="1" customFormat="1" x14ac:dyDescent="0.25">
      <c r="D275" s="5"/>
      <c r="E275" s="2"/>
      <c r="F275" s="2"/>
      <c r="G275" s="2"/>
      <c r="H275" s="2"/>
      <c r="I275" s="2"/>
      <c r="J275" s="7"/>
      <c r="M275" s="2"/>
      <c r="N275" s="2"/>
      <c r="O275" s="7"/>
      <c r="P275" s="2"/>
      <c r="Q275" s="2"/>
      <c r="R275" s="2"/>
      <c r="S275" s="2"/>
      <c r="T275" s="2"/>
      <c r="U275" s="7"/>
      <c r="V275" s="37"/>
      <c r="W275" s="37"/>
      <c r="X275" s="37"/>
      <c r="Y275" s="37"/>
      <c r="Z275" s="37"/>
      <c r="AA275" s="37"/>
      <c r="AB275" s="37"/>
      <c r="AC275" s="37"/>
      <c r="AD275" s="37"/>
      <c r="AE275" s="6"/>
    </row>
    <row r="276" spans="4:31" s="1" customFormat="1" x14ac:dyDescent="0.25">
      <c r="D276" s="5"/>
      <c r="E276" s="2"/>
      <c r="F276" s="2"/>
      <c r="G276" s="2"/>
      <c r="H276" s="2"/>
      <c r="I276" s="2"/>
      <c r="J276" s="7"/>
      <c r="M276" s="2"/>
      <c r="N276" s="2"/>
      <c r="O276" s="7"/>
      <c r="P276" s="2"/>
      <c r="Q276" s="2"/>
      <c r="R276" s="2"/>
      <c r="S276" s="2"/>
      <c r="T276" s="2"/>
      <c r="U276" s="7"/>
      <c r="V276" s="37"/>
      <c r="W276" s="37"/>
      <c r="X276" s="37"/>
      <c r="Y276" s="37"/>
      <c r="Z276" s="37"/>
      <c r="AA276" s="37"/>
      <c r="AB276" s="37"/>
      <c r="AC276" s="37"/>
      <c r="AD276" s="37"/>
      <c r="AE276" s="6"/>
    </row>
    <row r="277" spans="4:31" s="1" customFormat="1" x14ac:dyDescent="0.25">
      <c r="D277" s="5"/>
      <c r="E277" s="2"/>
      <c r="F277" s="2"/>
      <c r="G277" s="2"/>
      <c r="H277" s="2"/>
      <c r="I277" s="2"/>
      <c r="J277" s="7"/>
      <c r="M277" s="2"/>
      <c r="N277" s="2"/>
      <c r="O277" s="7"/>
      <c r="P277" s="2"/>
      <c r="Q277" s="2"/>
      <c r="R277" s="2"/>
      <c r="S277" s="2"/>
      <c r="T277" s="2"/>
      <c r="U277" s="7"/>
      <c r="V277" s="37"/>
      <c r="W277" s="37"/>
      <c r="X277" s="37"/>
      <c r="Y277" s="37"/>
      <c r="Z277" s="37"/>
      <c r="AA277" s="37"/>
      <c r="AB277" s="37"/>
      <c r="AC277" s="37"/>
      <c r="AD277" s="37"/>
      <c r="AE277" s="6"/>
    </row>
    <row r="278" spans="4:31" s="1" customFormat="1" x14ac:dyDescent="0.25">
      <c r="D278" s="5"/>
      <c r="E278" s="2"/>
      <c r="F278" s="2"/>
      <c r="G278" s="2"/>
      <c r="H278" s="2"/>
      <c r="I278" s="2"/>
      <c r="J278" s="7"/>
      <c r="M278" s="2"/>
      <c r="N278" s="2"/>
      <c r="O278" s="7"/>
      <c r="P278" s="2"/>
      <c r="Q278" s="2"/>
      <c r="R278" s="2"/>
      <c r="S278" s="2"/>
      <c r="T278" s="2"/>
      <c r="U278" s="7"/>
      <c r="V278" s="37"/>
      <c r="W278" s="37"/>
      <c r="X278" s="37"/>
      <c r="Y278" s="37"/>
      <c r="Z278" s="37"/>
      <c r="AA278" s="37"/>
      <c r="AB278" s="37"/>
      <c r="AC278" s="37"/>
      <c r="AD278" s="37"/>
      <c r="AE278" s="6"/>
    </row>
    <row r="279" spans="4:31" s="1" customFormat="1" x14ac:dyDescent="0.25">
      <c r="D279" s="5"/>
      <c r="E279" s="2"/>
      <c r="F279" s="2"/>
      <c r="G279" s="2"/>
      <c r="H279" s="2"/>
      <c r="I279" s="2"/>
      <c r="J279" s="7"/>
      <c r="M279" s="2"/>
      <c r="N279" s="2"/>
      <c r="O279" s="7"/>
      <c r="P279" s="2"/>
      <c r="Q279" s="2"/>
      <c r="R279" s="2"/>
      <c r="S279" s="2"/>
      <c r="T279" s="2"/>
      <c r="U279" s="7"/>
      <c r="V279" s="37"/>
      <c r="W279" s="37"/>
      <c r="X279" s="37"/>
      <c r="Y279" s="37"/>
      <c r="Z279" s="37"/>
      <c r="AA279" s="37"/>
      <c r="AB279" s="37"/>
      <c r="AC279" s="37"/>
      <c r="AD279" s="37"/>
      <c r="AE279" s="6"/>
    </row>
    <row r="280" spans="4:31" s="1" customFormat="1" x14ac:dyDescent="0.25">
      <c r="D280" s="5"/>
      <c r="E280" s="2"/>
      <c r="F280" s="2"/>
      <c r="G280" s="2"/>
      <c r="H280" s="2"/>
      <c r="I280" s="2"/>
      <c r="J280" s="7"/>
      <c r="M280" s="2"/>
      <c r="N280" s="2"/>
      <c r="O280" s="7"/>
      <c r="P280" s="2"/>
      <c r="Q280" s="2"/>
      <c r="R280" s="2"/>
      <c r="S280" s="2"/>
      <c r="T280" s="2"/>
      <c r="U280" s="7"/>
      <c r="V280" s="37"/>
      <c r="W280" s="37"/>
      <c r="X280" s="37"/>
      <c r="Y280" s="37"/>
      <c r="Z280" s="37"/>
      <c r="AA280" s="37"/>
      <c r="AB280" s="37"/>
      <c r="AC280" s="37"/>
      <c r="AD280" s="37"/>
      <c r="AE280" s="6"/>
    </row>
    <row r="281" spans="4:31" s="1" customFormat="1" x14ac:dyDescent="0.25">
      <c r="D281" s="5"/>
      <c r="E281" s="2"/>
      <c r="F281" s="2"/>
      <c r="G281" s="2"/>
      <c r="H281" s="2"/>
      <c r="I281" s="2"/>
      <c r="J281" s="7"/>
      <c r="M281" s="2"/>
      <c r="N281" s="2"/>
      <c r="O281" s="7"/>
      <c r="P281" s="2"/>
      <c r="Q281" s="2"/>
      <c r="R281" s="2"/>
      <c r="S281" s="2"/>
      <c r="T281" s="2"/>
      <c r="U281" s="7"/>
      <c r="V281" s="37"/>
      <c r="W281" s="37"/>
      <c r="X281" s="37"/>
      <c r="Y281" s="37"/>
      <c r="Z281" s="37"/>
      <c r="AA281" s="37"/>
      <c r="AB281" s="37"/>
      <c r="AC281" s="37"/>
      <c r="AD281" s="37"/>
      <c r="AE281" s="6"/>
    </row>
    <row r="282" spans="4:31" s="1" customFormat="1" x14ac:dyDescent="0.25">
      <c r="D282" s="5"/>
      <c r="E282" s="2"/>
      <c r="F282" s="2"/>
      <c r="G282" s="2"/>
      <c r="H282" s="2"/>
      <c r="I282" s="2"/>
      <c r="J282" s="7"/>
      <c r="M282" s="2"/>
      <c r="N282" s="2"/>
      <c r="O282" s="7"/>
      <c r="P282" s="2"/>
      <c r="Q282" s="2"/>
      <c r="R282" s="2"/>
      <c r="S282" s="2"/>
      <c r="T282" s="2"/>
      <c r="U282" s="7"/>
      <c r="V282" s="37"/>
      <c r="W282" s="37"/>
      <c r="X282" s="37"/>
      <c r="Y282" s="37"/>
      <c r="Z282" s="37"/>
      <c r="AA282" s="37"/>
      <c r="AB282" s="37"/>
      <c r="AC282" s="37"/>
      <c r="AD282" s="37"/>
      <c r="AE282" s="6"/>
    </row>
    <row r="283" spans="4:31" s="1" customFormat="1" x14ac:dyDescent="0.25">
      <c r="D283" s="5"/>
      <c r="E283" s="2"/>
      <c r="F283" s="2"/>
      <c r="G283" s="2"/>
      <c r="H283" s="2"/>
      <c r="I283" s="2"/>
      <c r="J283" s="7"/>
      <c r="M283" s="2"/>
      <c r="N283" s="2"/>
      <c r="O283" s="7"/>
      <c r="P283" s="2"/>
      <c r="Q283" s="2"/>
      <c r="R283" s="2"/>
      <c r="S283" s="2"/>
      <c r="T283" s="2"/>
      <c r="U283" s="7"/>
      <c r="V283" s="37"/>
      <c r="W283" s="37"/>
      <c r="X283" s="37"/>
      <c r="Y283" s="37"/>
      <c r="Z283" s="37"/>
      <c r="AA283" s="37"/>
      <c r="AB283" s="37"/>
      <c r="AC283" s="37"/>
      <c r="AD283" s="37"/>
      <c r="AE283" s="6"/>
    </row>
    <row r="284" spans="4:31" s="1" customFormat="1" x14ac:dyDescent="0.25">
      <c r="D284" s="5"/>
      <c r="E284" s="2"/>
      <c r="F284" s="2"/>
      <c r="G284" s="2"/>
      <c r="H284" s="2"/>
      <c r="I284" s="2"/>
      <c r="J284" s="7"/>
      <c r="M284" s="2"/>
      <c r="N284" s="2"/>
      <c r="O284" s="7"/>
      <c r="P284" s="2"/>
      <c r="Q284" s="2"/>
      <c r="R284" s="2"/>
      <c r="S284" s="2"/>
      <c r="T284" s="2"/>
      <c r="U284" s="7"/>
      <c r="V284" s="37"/>
      <c r="W284" s="37"/>
      <c r="X284" s="37"/>
      <c r="Y284" s="37"/>
      <c r="Z284" s="37"/>
      <c r="AA284" s="37"/>
      <c r="AB284" s="37"/>
      <c r="AC284" s="37"/>
      <c r="AD284" s="37"/>
      <c r="AE284" s="6"/>
    </row>
    <row r="285" spans="4:31" s="1" customFormat="1" x14ac:dyDescent="0.25">
      <c r="D285" s="5"/>
      <c r="E285" s="2"/>
      <c r="F285" s="2"/>
      <c r="G285" s="2"/>
      <c r="H285" s="2"/>
      <c r="I285" s="2"/>
      <c r="J285" s="7"/>
      <c r="M285" s="2"/>
      <c r="N285" s="2"/>
      <c r="O285" s="7"/>
      <c r="P285" s="2"/>
      <c r="Q285" s="2"/>
      <c r="R285" s="2"/>
      <c r="S285" s="2"/>
      <c r="T285" s="2"/>
      <c r="U285" s="7"/>
      <c r="V285" s="37"/>
      <c r="W285" s="37"/>
      <c r="X285" s="37"/>
      <c r="Y285" s="37"/>
      <c r="Z285" s="37"/>
      <c r="AA285" s="37"/>
      <c r="AB285" s="37"/>
      <c r="AC285" s="37"/>
      <c r="AD285" s="37"/>
      <c r="AE285" s="6"/>
    </row>
    <row r="286" spans="4:31" s="1" customFormat="1" x14ac:dyDescent="0.25">
      <c r="D286" s="5"/>
      <c r="E286" s="2"/>
      <c r="F286" s="2"/>
      <c r="G286" s="2"/>
      <c r="H286" s="2"/>
      <c r="I286" s="2"/>
      <c r="J286" s="7"/>
      <c r="M286" s="2"/>
      <c r="N286" s="2"/>
      <c r="O286" s="7"/>
      <c r="P286" s="2"/>
      <c r="Q286" s="2"/>
      <c r="R286" s="2"/>
      <c r="S286" s="2"/>
      <c r="T286" s="2"/>
      <c r="U286" s="7"/>
      <c r="V286" s="37"/>
      <c r="W286" s="37"/>
      <c r="X286" s="37"/>
      <c r="Y286" s="37"/>
      <c r="Z286" s="37"/>
      <c r="AA286" s="37"/>
      <c r="AB286" s="37"/>
      <c r="AC286" s="37"/>
      <c r="AD286" s="37"/>
      <c r="AE286" s="6"/>
    </row>
    <row r="287" spans="4:31" s="1" customFormat="1" x14ac:dyDescent="0.25">
      <c r="D287" s="5"/>
      <c r="E287" s="2"/>
      <c r="F287" s="2"/>
      <c r="G287" s="2"/>
      <c r="H287" s="2"/>
      <c r="I287" s="2"/>
      <c r="J287" s="7"/>
      <c r="M287" s="2"/>
      <c r="N287" s="2"/>
      <c r="O287" s="7"/>
      <c r="P287" s="2"/>
      <c r="Q287" s="2"/>
      <c r="R287" s="2"/>
      <c r="S287" s="2"/>
      <c r="T287" s="2"/>
      <c r="U287" s="7"/>
      <c r="V287" s="37"/>
      <c r="W287" s="37"/>
      <c r="X287" s="37"/>
      <c r="Y287" s="37"/>
      <c r="Z287" s="37"/>
      <c r="AA287" s="37"/>
      <c r="AB287" s="37"/>
      <c r="AC287" s="37"/>
      <c r="AD287" s="37"/>
      <c r="AE287" s="6"/>
    </row>
    <row r="288" spans="4:31" s="1" customFormat="1" x14ac:dyDescent="0.25">
      <c r="D288" s="5"/>
      <c r="E288" s="2"/>
      <c r="F288" s="2"/>
      <c r="G288" s="2"/>
      <c r="H288" s="2"/>
      <c r="I288" s="2"/>
      <c r="J288" s="7"/>
      <c r="M288" s="2"/>
      <c r="N288" s="2"/>
      <c r="O288" s="7"/>
      <c r="P288" s="2"/>
      <c r="Q288" s="2"/>
      <c r="R288" s="2"/>
      <c r="S288" s="2"/>
      <c r="T288" s="2"/>
      <c r="U288" s="7"/>
      <c r="V288" s="37"/>
      <c r="W288" s="37"/>
      <c r="X288" s="37"/>
      <c r="Y288" s="37"/>
      <c r="Z288" s="37"/>
      <c r="AA288" s="37"/>
      <c r="AB288" s="37"/>
      <c r="AC288" s="37"/>
      <c r="AD288" s="37"/>
      <c r="AE288" s="6"/>
    </row>
    <row r="289" spans="4:31" s="1" customFormat="1" x14ac:dyDescent="0.25">
      <c r="D289" s="5"/>
      <c r="E289" s="2"/>
      <c r="F289" s="2"/>
      <c r="G289" s="2"/>
      <c r="H289" s="2"/>
      <c r="I289" s="2"/>
      <c r="J289" s="7"/>
      <c r="M289" s="2"/>
      <c r="N289" s="2"/>
      <c r="O289" s="7"/>
      <c r="P289" s="2"/>
      <c r="Q289" s="2"/>
      <c r="R289" s="2"/>
      <c r="S289" s="2"/>
      <c r="T289" s="2"/>
      <c r="U289" s="7"/>
      <c r="V289" s="37"/>
      <c r="W289" s="37"/>
      <c r="X289" s="37"/>
      <c r="Y289" s="37"/>
      <c r="Z289" s="37"/>
      <c r="AA289" s="37"/>
      <c r="AB289" s="37"/>
      <c r="AC289" s="37"/>
      <c r="AD289" s="37"/>
      <c r="AE289" s="6"/>
    </row>
    <row r="290" spans="4:31" s="1" customFormat="1" x14ac:dyDescent="0.25">
      <c r="D290" s="5"/>
      <c r="E290" s="2"/>
      <c r="F290" s="2"/>
      <c r="G290" s="2"/>
      <c r="H290" s="2"/>
      <c r="I290" s="2"/>
      <c r="J290" s="7"/>
      <c r="M290" s="2"/>
      <c r="N290" s="2"/>
      <c r="O290" s="7"/>
      <c r="P290" s="2"/>
      <c r="Q290" s="2"/>
      <c r="R290" s="2"/>
      <c r="S290" s="2"/>
      <c r="T290" s="2"/>
      <c r="U290" s="7"/>
      <c r="V290" s="37"/>
      <c r="W290" s="37"/>
      <c r="X290" s="37"/>
      <c r="Y290" s="37"/>
      <c r="Z290" s="37"/>
      <c r="AA290" s="37"/>
      <c r="AB290" s="37"/>
      <c r="AC290" s="37"/>
      <c r="AD290" s="37"/>
      <c r="AE290" s="6"/>
    </row>
    <row r="291" spans="4:31" s="1" customFormat="1" x14ac:dyDescent="0.25">
      <c r="D291" s="5"/>
      <c r="E291" s="2"/>
      <c r="F291" s="2"/>
      <c r="G291" s="2"/>
      <c r="H291" s="2"/>
      <c r="I291" s="2"/>
      <c r="J291" s="7"/>
      <c r="M291" s="2"/>
      <c r="N291" s="2"/>
      <c r="O291" s="7"/>
      <c r="P291" s="2"/>
      <c r="Q291" s="2"/>
      <c r="R291" s="2"/>
      <c r="S291" s="2"/>
      <c r="T291" s="2"/>
      <c r="U291" s="7"/>
      <c r="V291" s="37"/>
      <c r="W291" s="37"/>
      <c r="X291" s="37"/>
      <c r="Y291" s="37"/>
      <c r="Z291" s="37"/>
      <c r="AA291" s="37"/>
      <c r="AB291" s="37"/>
      <c r="AC291" s="37"/>
      <c r="AD291" s="37"/>
      <c r="AE291" s="6"/>
    </row>
    <row r="292" spans="4:31" s="1" customFormat="1" x14ac:dyDescent="0.25">
      <c r="D292" s="5"/>
      <c r="E292" s="2"/>
      <c r="F292" s="2"/>
      <c r="G292" s="2"/>
      <c r="H292" s="2"/>
      <c r="I292" s="2"/>
      <c r="J292" s="7"/>
      <c r="M292" s="2"/>
      <c r="N292" s="2"/>
      <c r="O292" s="7"/>
      <c r="P292" s="2"/>
      <c r="Q292" s="2"/>
      <c r="R292" s="2"/>
      <c r="S292" s="2"/>
      <c r="T292" s="2"/>
      <c r="U292" s="7"/>
      <c r="V292" s="37"/>
      <c r="W292" s="37"/>
      <c r="X292" s="37"/>
      <c r="Y292" s="37"/>
      <c r="Z292" s="37"/>
      <c r="AA292" s="37"/>
      <c r="AB292" s="37"/>
      <c r="AC292" s="37"/>
      <c r="AD292" s="37"/>
      <c r="AE292" s="6"/>
    </row>
    <row r="293" spans="4:31" s="1" customFormat="1" x14ac:dyDescent="0.25">
      <c r="D293" s="5"/>
      <c r="E293" s="2"/>
      <c r="F293" s="2"/>
      <c r="G293" s="2"/>
      <c r="H293" s="2"/>
      <c r="I293" s="2"/>
      <c r="J293" s="7"/>
      <c r="M293" s="2"/>
      <c r="N293" s="2"/>
      <c r="O293" s="7"/>
      <c r="P293" s="2"/>
      <c r="Q293" s="2"/>
      <c r="R293" s="2"/>
      <c r="S293" s="2"/>
      <c r="T293" s="2"/>
      <c r="U293" s="7"/>
      <c r="V293" s="37"/>
      <c r="W293" s="37"/>
      <c r="X293" s="37"/>
      <c r="Y293" s="37"/>
      <c r="Z293" s="37"/>
      <c r="AA293" s="37"/>
      <c r="AB293" s="37"/>
      <c r="AC293" s="37"/>
      <c r="AD293" s="37"/>
      <c r="AE293" s="6"/>
    </row>
    <row r="294" spans="4:31" s="1" customFormat="1" x14ac:dyDescent="0.25">
      <c r="D294" s="5"/>
      <c r="E294" s="2"/>
      <c r="F294" s="2"/>
      <c r="G294" s="2"/>
      <c r="H294" s="2"/>
      <c r="I294" s="2"/>
      <c r="J294" s="7"/>
      <c r="M294" s="2"/>
      <c r="N294" s="2"/>
      <c r="O294" s="7"/>
      <c r="P294" s="2"/>
      <c r="Q294" s="2"/>
      <c r="R294" s="2"/>
      <c r="S294" s="2"/>
      <c r="T294" s="2"/>
      <c r="U294" s="7"/>
      <c r="V294" s="37"/>
      <c r="W294" s="37"/>
      <c r="X294" s="37"/>
      <c r="Y294" s="37"/>
      <c r="Z294" s="37"/>
      <c r="AA294" s="37"/>
      <c r="AB294" s="37"/>
      <c r="AC294" s="37"/>
      <c r="AD294" s="37"/>
      <c r="AE294" s="6"/>
    </row>
    <row r="295" spans="4:31" s="1" customFormat="1" x14ac:dyDescent="0.25">
      <c r="D295" s="5"/>
      <c r="E295" s="2"/>
      <c r="F295" s="2"/>
      <c r="G295" s="2"/>
      <c r="H295" s="2"/>
      <c r="I295" s="2"/>
      <c r="J295" s="7"/>
      <c r="M295" s="2"/>
      <c r="N295" s="2"/>
      <c r="O295" s="7"/>
      <c r="P295" s="2"/>
      <c r="Q295" s="2"/>
      <c r="R295" s="2"/>
      <c r="S295" s="2"/>
      <c r="T295" s="2"/>
      <c r="U295" s="7"/>
      <c r="V295" s="37"/>
      <c r="W295" s="37"/>
      <c r="X295" s="37"/>
      <c r="Y295" s="37"/>
      <c r="Z295" s="37"/>
      <c r="AA295" s="37"/>
      <c r="AB295" s="37"/>
      <c r="AC295" s="37"/>
      <c r="AD295" s="37"/>
      <c r="AE295" s="6"/>
    </row>
    <row r="296" spans="4:31" s="1" customFormat="1" x14ac:dyDescent="0.25">
      <c r="D296" s="5"/>
      <c r="E296" s="2"/>
      <c r="F296" s="2"/>
      <c r="G296" s="2"/>
      <c r="H296" s="2"/>
      <c r="I296" s="2"/>
      <c r="J296" s="7"/>
      <c r="M296" s="2"/>
      <c r="N296" s="2"/>
      <c r="O296" s="7"/>
      <c r="P296" s="2"/>
      <c r="Q296" s="2"/>
      <c r="R296" s="2"/>
      <c r="S296" s="2"/>
      <c r="T296" s="2"/>
      <c r="U296" s="7"/>
      <c r="V296" s="37"/>
      <c r="W296" s="37"/>
      <c r="X296" s="37"/>
      <c r="Y296" s="37"/>
      <c r="Z296" s="37"/>
      <c r="AA296" s="37"/>
      <c r="AB296" s="37"/>
      <c r="AC296" s="37"/>
      <c r="AD296" s="37"/>
      <c r="AE296" s="6"/>
    </row>
    <row r="297" spans="4:31" s="1" customFormat="1" x14ac:dyDescent="0.25">
      <c r="D297" s="5"/>
      <c r="E297" s="2"/>
      <c r="F297" s="2"/>
      <c r="G297" s="2"/>
      <c r="H297" s="2"/>
      <c r="I297" s="2"/>
      <c r="J297" s="7"/>
      <c r="M297" s="2"/>
      <c r="N297" s="2"/>
      <c r="O297" s="7"/>
      <c r="P297" s="2"/>
      <c r="Q297" s="2"/>
      <c r="R297" s="2"/>
      <c r="S297" s="2"/>
      <c r="T297" s="2"/>
      <c r="U297" s="7"/>
      <c r="V297" s="37"/>
      <c r="W297" s="37"/>
      <c r="X297" s="37"/>
      <c r="Y297" s="37"/>
      <c r="Z297" s="37"/>
      <c r="AA297" s="37"/>
      <c r="AB297" s="37"/>
      <c r="AC297" s="37"/>
      <c r="AD297" s="37"/>
      <c r="AE297" s="6"/>
    </row>
    <row r="298" spans="4:31" s="1" customFormat="1" x14ac:dyDescent="0.25">
      <c r="D298" s="5"/>
      <c r="E298" s="2"/>
      <c r="F298" s="2"/>
      <c r="G298" s="2"/>
      <c r="H298" s="2"/>
      <c r="I298" s="2"/>
      <c r="J298" s="7"/>
      <c r="M298" s="2"/>
      <c r="N298" s="2"/>
      <c r="O298" s="7"/>
      <c r="P298" s="2"/>
      <c r="Q298" s="2"/>
      <c r="R298" s="2"/>
      <c r="S298" s="2"/>
      <c r="T298" s="2"/>
      <c r="U298" s="7"/>
      <c r="V298" s="37"/>
      <c r="W298" s="37"/>
      <c r="X298" s="37"/>
      <c r="Y298" s="37"/>
      <c r="Z298" s="37"/>
      <c r="AA298" s="37"/>
      <c r="AB298" s="37"/>
      <c r="AC298" s="37"/>
      <c r="AD298" s="37"/>
      <c r="AE298" s="6"/>
    </row>
    <row r="299" spans="4:31" s="1" customFormat="1" x14ac:dyDescent="0.25">
      <c r="D299" s="5"/>
      <c r="E299" s="2"/>
      <c r="F299" s="2"/>
      <c r="G299" s="2"/>
      <c r="H299" s="2"/>
      <c r="I299" s="2"/>
      <c r="J299" s="7"/>
      <c r="M299" s="2"/>
      <c r="N299" s="2"/>
      <c r="O299" s="7"/>
      <c r="P299" s="2"/>
      <c r="Q299" s="2"/>
      <c r="R299" s="2"/>
      <c r="S299" s="2"/>
      <c r="T299" s="2"/>
      <c r="U299" s="7"/>
      <c r="V299" s="37"/>
      <c r="W299" s="37"/>
      <c r="X299" s="37"/>
      <c r="Y299" s="37"/>
      <c r="Z299" s="37"/>
      <c r="AA299" s="37"/>
      <c r="AB299" s="37"/>
      <c r="AC299" s="37"/>
      <c r="AD299" s="37"/>
      <c r="AE299" s="6"/>
    </row>
    <row r="300" spans="4:31" s="1" customFormat="1" x14ac:dyDescent="0.25">
      <c r="D300" s="5"/>
      <c r="E300" s="2"/>
      <c r="F300" s="2"/>
      <c r="G300" s="2"/>
      <c r="H300" s="2"/>
      <c r="I300" s="2"/>
      <c r="J300" s="7"/>
      <c r="M300" s="2"/>
      <c r="N300" s="2"/>
      <c r="O300" s="7"/>
      <c r="P300" s="2"/>
      <c r="Q300" s="2"/>
      <c r="R300" s="2"/>
      <c r="S300" s="2"/>
      <c r="T300" s="2"/>
      <c r="U300" s="7"/>
      <c r="V300" s="37"/>
      <c r="W300" s="37"/>
      <c r="X300" s="37"/>
      <c r="Y300" s="37"/>
      <c r="Z300" s="37"/>
      <c r="AA300" s="37"/>
      <c r="AB300" s="37"/>
      <c r="AC300" s="37"/>
      <c r="AD300" s="37"/>
      <c r="AE300" s="6"/>
    </row>
    <row r="301" spans="4:31" s="1" customFormat="1" x14ac:dyDescent="0.25">
      <c r="D301" s="5"/>
      <c r="E301" s="2"/>
      <c r="F301" s="2"/>
      <c r="G301" s="2"/>
      <c r="H301" s="2"/>
      <c r="I301" s="2"/>
      <c r="J301" s="7"/>
      <c r="M301" s="2"/>
      <c r="N301" s="2"/>
      <c r="O301" s="7"/>
      <c r="P301" s="2"/>
      <c r="Q301" s="2"/>
      <c r="R301" s="2"/>
      <c r="S301" s="2"/>
      <c r="T301" s="2"/>
      <c r="U301" s="7"/>
      <c r="V301" s="37"/>
      <c r="W301" s="37"/>
      <c r="X301" s="37"/>
      <c r="Y301" s="37"/>
      <c r="Z301" s="37"/>
      <c r="AA301" s="37"/>
      <c r="AB301" s="37"/>
      <c r="AC301" s="37"/>
      <c r="AD301" s="37"/>
      <c r="AE301" s="6"/>
    </row>
    <row r="302" spans="4:31" s="1" customFormat="1" x14ac:dyDescent="0.25">
      <c r="D302" s="5"/>
      <c r="E302" s="2"/>
      <c r="F302" s="2"/>
      <c r="G302" s="2"/>
      <c r="H302" s="2"/>
      <c r="I302" s="2"/>
      <c r="J302" s="7"/>
      <c r="M302" s="2"/>
      <c r="N302" s="2"/>
      <c r="O302" s="7"/>
      <c r="P302" s="2"/>
      <c r="Q302" s="2"/>
      <c r="R302" s="2"/>
      <c r="S302" s="2"/>
      <c r="T302" s="2"/>
      <c r="U302" s="7"/>
      <c r="V302" s="37"/>
      <c r="W302" s="37"/>
      <c r="X302" s="37"/>
      <c r="Y302" s="37"/>
      <c r="Z302" s="37"/>
      <c r="AA302" s="37"/>
      <c r="AB302" s="37"/>
      <c r="AC302" s="37"/>
      <c r="AD302" s="37"/>
      <c r="AE302" s="6"/>
    </row>
    <row r="303" spans="4:31" s="1" customFormat="1" x14ac:dyDescent="0.25">
      <c r="D303" s="5"/>
      <c r="E303" s="2"/>
      <c r="F303" s="2"/>
      <c r="G303" s="2"/>
      <c r="H303" s="2"/>
      <c r="I303" s="2"/>
      <c r="J303" s="7"/>
      <c r="M303" s="2"/>
      <c r="N303" s="2"/>
      <c r="O303" s="7"/>
      <c r="P303" s="2"/>
      <c r="Q303" s="2"/>
      <c r="R303" s="2"/>
      <c r="S303" s="2"/>
      <c r="T303" s="2"/>
      <c r="U303" s="7"/>
      <c r="V303" s="37"/>
      <c r="W303" s="37"/>
      <c r="X303" s="37"/>
      <c r="Y303" s="37"/>
      <c r="Z303" s="37"/>
      <c r="AA303" s="37"/>
      <c r="AB303" s="37"/>
      <c r="AC303" s="37"/>
      <c r="AD303" s="37"/>
      <c r="AE303" s="6"/>
    </row>
    <row r="304" spans="4:31" s="1" customFormat="1" x14ac:dyDescent="0.25">
      <c r="D304" s="5"/>
      <c r="E304" s="2"/>
      <c r="F304" s="2"/>
      <c r="G304" s="2"/>
      <c r="H304" s="2"/>
      <c r="I304" s="2"/>
      <c r="J304" s="7"/>
      <c r="M304" s="2"/>
      <c r="N304" s="2"/>
      <c r="O304" s="7"/>
      <c r="P304" s="2"/>
      <c r="Q304" s="2"/>
      <c r="R304" s="2"/>
      <c r="S304" s="2"/>
      <c r="T304" s="2"/>
      <c r="U304" s="7"/>
      <c r="V304" s="37"/>
      <c r="W304" s="37"/>
      <c r="X304" s="37"/>
      <c r="Y304" s="37"/>
      <c r="Z304" s="37"/>
      <c r="AA304" s="37"/>
      <c r="AB304" s="37"/>
      <c r="AC304" s="37"/>
      <c r="AD304" s="37"/>
      <c r="AE304" s="6"/>
    </row>
    <row r="305" spans="4:31" s="1" customFormat="1" x14ac:dyDescent="0.25">
      <c r="D305" s="5"/>
      <c r="E305" s="2"/>
      <c r="F305" s="2"/>
      <c r="G305" s="2"/>
      <c r="H305" s="2"/>
      <c r="I305" s="2"/>
      <c r="J305" s="7"/>
      <c r="M305" s="2"/>
      <c r="N305" s="2"/>
      <c r="O305" s="7"/>
      <c r="P305" s="2"/>
      <c r="Q305" s="2"/>
      <c r="R305" s="2"/>
      <c r="S305" s="2"/>
      <c r="T305" s="2"/>
      <c r="U305" s="7"/>
      <c r="V305" s="37"/>
      <c r="W305" s="37"/>
      <c r="X305" s="37"/>
      <c r="Y305" s="37"/>
      <c r="Z305" s="37"/>
      <c r="AA305" s="37"/>
      <c r="AB305" s="37"/>
      <c r="AC305" s="37"/>
      <c r="AD305" s="37"/>
      <c r="AE305" s="6"/>
    </row>
    <row r="306" spans="4:31" s="1" customFormat="1" x14ac:dyDescent="0.25">
      <c r="D306" s="5"/>
      <c r="E306" s="2"/>
      <c r="F306" s="2"/>
      <c r="G306" s="2"/>
      <c r="H306" s="2"/>
      <c r="I306" s="2"/>
      <c r="J306" s="7"/>
      <c r="M306" s="2"/>
      <c r="N306" s="2"/>
      <c r="O306" s="7"/>
      <c r="P306" s="2"/>
      <c r="Q306" s="2"/>
      <c r="R306" s="2"/>
      <c r="S306" s="2"/>
      <c r="T306" s="2"/>
      <c r="U306" s="7"/>
      <c r="V306" s="37"/>
      <c r="W306" s="37"/>
      <c r="X306" s="37"/>
      <c r="Y306" s="37"/>
      <c r="Z306" s="37"/>
      <c r="AA306" s="37"/>
      <c r="AB306" s="37"/>
      <c r="AC306" s="37"/>
      <c r="AD306" s="37"/>
      <c r="AE306" s="6"/>
    </row>
    <row r="307" spans="4:31" s="1" customFormat="1" x14ac:dyDescent="0.25">
      <c r="D307" s="5"/>
      <c r="E307" s="2"/>
      <c r="F307" s="2"/>
      <c r="G307" s="2"/>
      <c r="H307" s="2"/>
      <c r="I307" s="2"/>
      <c r="J307" s="7"/>
      <c r="M307" s="2"/>
      <c r="N307" s="2"/>
      <c r="O307" s="7"/>
      <c r="P307" s="2"/>
      <c r="Q307" s="2"/>
      <c r="R307" s="2"/>
      <c r="S307" s="2"/>
      <c r="T307" s="2"/>
      <c r="U307" s="7"/>
      <c r="V307" s="37"/>
      <c r="W307" s="37"/>
      <c r="X307" s="37"/>
      <c r="Y307" s="37"/>
      <c r="Z307" s="37"/>
      <c r="AA307" s="37"/>
      <c r="AB307" s="37"/>
      <c r="AC307" s="37"/>
      <c r="AD307" s="37"/>
      <c r="AE307" s="6"/>
    </row>
    <row r="308" spans="4:31" s="1" customFormat="1" x14ac:dyDescent="0.25">
      <c r="D308" s="5"/>
      <c r="E308" s="2"/>
      <c r="F308" s="2"/>
      <c r="G308" s="2"/>
      <c r="H308" s="2"/>
      <c r="I308" s="2"/>
      <c r="J308" s="7"/>
      <c r="M308" s="2"/>
      <c r="N308" s="2"/>
      <c r="O308" s="7"/>
      <c r="P308" s="2"/>
      <c r="Q308" s="2"/>
      <c r="R308" s="2"/>
      <c r="S308" s="2"/>
      <c r="T308" s="2"/>
      <c r="U308" s="7"/>
      <c r="V308" s="37"/>
      <c r="W308" s="37"/>
      <c r="X308" s="37"/>
      <c r="Y308" s="37"/>
      <c r="Z308" s="37"/>
      <c r="AA308" s="37"/>
      <c r="AB308" s="37"/>
      <c r="AC308" s="37"/>
      <c r="AD308" s="37"/>
      <c r="AE308" s="6"/>
    </row>
    <row r="309" spans="4:31" s="1" customFormat="1" x14ac:dyDescent="0.25">
      <c r="D309" s="5"/>
      <c r="E309" s="2"/>
      <c r="F309" s="2"/>
      <c r="G309" s="2"/>
      <c r="H309" s="2"/>
      <c r="I309" s="2"/>
      <c r="J309" s="7"/>
      <c r="M309" s="2"/>
      <c r="N309" s="2"/>
      <c r="O309" s="7"/>
      <c r="P309" s="2"/>
      <c r="Q309" s="2"/>
      <c r="R309" s="2"/>
      <c r="S309" s="2"/>
      <c r="T309" s="2"/>
      <c r="U309" s="7"/>
      <c r="V309" s="37"/>
      <c r="W309" s="37"/>
      <c r="X309" s="37"/>
      <c r="Y309" s="37"/>
      <c r="Z309" s="37"/>
      <c r="AA309" s="37"/>
      <c r="AB309" s="37"/>
      <c r="AC309" s="37"/>
      <c r="AD309" s="37"/>
      <c r="AE309" s="6"/>
    </row>
    <row r="310" spans="4:31" s="1" customFormat="1" x14ac:dyDescent="0.25">
      <c r="D310" s="5"/>
      <c r="E310" s="2"/>
      <c r="F310" s="2"/>
      <c r="G310" s="2"/>
      <c r="H310" s="2"/>
      <c r="I310" s="2"/>
      <c r="J310" s="7"/>
      <c r="M310" s="2"/>
      <c r="N310" s="2"/>
      <c r="O310" s="7"/>
      <c r="P310" s="2"/>
      <c r="Q310" s="2"/>
      <c r="R310" s="2"/>
      <c r="S310" s="2"/>
      <c r="T310" s="2"/>
      <c r="U310" s="7"/>
      <c r="V310" s="37"/>
      <c r="W310" s="37"/>
      <c r="X310" s="37"/>
      <c r="Y310" s="37"/>
      <c r="Z310" s="37"/>
      <c r="AA310" s="37"/>
      <c r="AB310" s="37"/>
      <c r="AC310" s="37"/>
      <c r="AD310" s="37"/>
      <c r="AE310" s="6"/>
    </row>
    <row r="311" spans="4:31" s="1" customFormat="1" x14ac:dyDescent="0.25">
      <c r="D311" s="5"/>
      <c r="E311" s="2"/>
      <c r="F311" s="2"/>
      <c r="G311" s="2"/>
      <c r="H311" s="2"/>
      <c r="I311" s="2"/>
      <c r="J311" s="7"/>
      <c r="M311" s="2"/>
      <c r="N311" s="2"/>
      <c r="O311" s="7"/>
      <c r="P311" s="2"/>
      <c r="Q311" s="2"/>
      <c r="R311" s="2"/>
      <c r="S311" s="2"/>
      <c r="T311" s="2"/>
      <c r="U311" s="7"/>
      <c r="V311" s="37"/>
      <c r="W311" s="37"/>
      <c r="X311" s="37"/>
      <c r="Y311" s="37"/>
      <c r="Z311" s="37"/>
      <c r="AA311" s="37"/>
      <c r="AB311" s="37"/>
      <c r="AC311" s="37"/>
      <c r="AD311" s="37"/>
      <c r="AE311" s="6"/>
    </row>
    <row r="312" spans="4:31" s="1" customFormat="1" x14ac:dyDescent="0.25">
      <c r="D312" s="5"/>
      <c r="E312" s="2"/>
      <c r="F312" s="2"/>
      <c r="G312" s="2"/>
      <c r="H312" s="2"/>
      <c r="I312" s="2"/>
      <c r="J312" s="7"/>
      <c r="M312" s="2"/>
      <c r="N312" s="2"/>
      <c r="O312" s="7"/>
      <c r="P312" s="2"/>
      <c r="Q312" s="2"/>
      <c r="R312" s="2"/>
      <c r="S312" s="2"/>
      <c r="T312" s="2"/>
      <c r="U312" s="7"/>
      <c r="V312" s="37"/>
      <c r="W312" s="37"/>
      <c r="X312" s="37"/>
      <c r="Y312" s="37"/>
      <c r="Z312" s="37"/>
      <c r="AA312" s="37"/>
      <c r="AB312" s="37"/>
      <c r="AC312" s="37"/>
      <c r="AD312" s="37"/>
      <c r="AE312" s="6"/>
    </row>
    <row r="313" spans="4:31" s="1" customFormat="1" x14ac:dyDescent="0.25">
      <c r="D313" s="5"/>
      <c r="E313" s="2"/>
      <c r="F313" s="2"/>
      <c r="G313" s="2"/>
      <c r="H313" s="2"/>
      <c r="I313" s="2"/>
      <c r="J313" s="7"/>
      <c r="M313" s="2"/>
      <c r="N313" s="2"/>
      <c r="O313" s="7"/>
      <c r="P313" s="2"/>
      <c r="Q313" s="2"/>
      <c r="R313" s="2"/>
      <c r="S313" s="2"/>
      <c r="T313" s="2"/>
      <c r="U313" s="7"/>
      <c r="V313" s="37"/>
      <c r="W313" s="37"/>
      <c r="X313" s="37"/>
      <c r="Y313" s="37"/>
      <c r="Z313" s="37"/>
      <c r="AA313" s="37"/>
      <c r="AB313" s="37"/>
      <c r="AC313" s="37"/>
      <c r="AD313" s="37"/>
      <c r="AE313" s="6"/>
    </row>
    <row r="314" spans="4:31" s="1" customFormat="1" x14ac:dyDescent="0.25">
      <c r="D314" s="5"/>
      <c r="E314" s="2"/>
      <c r="F314" s="2"/>
      <c r="G314" s="2"/>
      <c r="H314" s="2"/>
      <c r="I314" s="2"/>
      <c r="J314" s="7"/>
      <c r="M314" s="2"/>
      <c r="N314" s="2"/>
      <c r="O314" s="7"/>
      <c r="P314" s="2"/>
      <c r="Q314" s="2"/>
      <c r="R314" s="2"/>
      <c r="S314" s="2"/>
      <c r="T314" s="2"/>
      <c r="U314" s="7"/>
      <c r="V314" s="37"/>
      <c r="W314" s="37"/>
      <c r="X314" s="37"/>
      <c r="Y314" s="37"/>
      <c r="Z314" s="37"/>
      <c r="AA314" s="37"/>
      <c r="AB314" s="37"/>
      <c r="AC314" s="37"/>
      <c r="AD314" s="37"/>
      <c r="AE314" s="6"/>
    </row>
    <row r="315" spans="4:31" s="1" customFormat="1" x14ac:dyDescent="0.25">
      <c r="D315" s="5"/>
      <c r="E315" s="2"/>
      <c r="F315" s="2"/>
      <c r="G315" s="2"/>
      <c r="H315" s="2"/>
      <c r="I315" s="2"/>
      <c r="J315" s="7"/>
      <c r="M315" s="2"/>
      <c r="N315" s="2"/>
      <c r="O315" s="7"/>
      <c r="P315" s="2"/>
      <c r="Q315" s="2"/>
      <c r="R315" s="2"/>
      <c r="S315" s="2"/>
      <c r="T315" s="2"/>
      <c r="U315" s="7"/>
      <c r="V315" s="37"/>
      <c r="W315" s="37"/>
      <c r="X315" s="37"/>
      <c r="Y315" s="37"/>
      <c r="Z315" s="37"/>
      <c r="AA315" s="37"/>
      <c r="AB315" s="37"/>
      <c r="AC315" s="37"/>
      <c r="AD315" s="37"/>
      <c r="AE315" s="6"/>
    </row>
    <row r="316" spans="4:31" s="1" customFormat="1" x14ac:dyDescent="0.25">
      <c r="D316" s="5"/>
      <c r="E316" s="2"/>
      <c r="F316" s="2"/>
      <c r="G316" s="2"/>
      <c r="H316" s="2"/>
      <c r="I316" s="2"/>
      <c r="J316" s="7"/>
      <c r="M316" s="2"/>
      <c r="N316" s="2"/>
      <c r="O316" s="7"/>
      <c r="P316" s="2"/>
      <c r="Q316" s="2"/>
      <c r="R316" s="2"/>
      <c r="S316" s="2"/>
      <c r="T316" s="2"/>
      <c r="U316" s="7"/>
      <c r="V316" s="37"/>
      <c r="W316" s="37"/>
      <c r="X316" s="37"/>
      <c r="Y316" s="37"/>
      <c r="Z316" s="37"/>
      <c r="AA316" s="37"/>
      <c r="AB316" s="37"/>
      <c r="AC316" s="37"/>
      <c r="AD316" s="37"/>
      <c r="AE316" s="6"/>
    </row>
    <row r="317" spans="4:31" s="1" customFormat="1" x14ac:dyDescent="0.25">
      <c r="D317" s="5"/>
      <c r="E317" s="2"/>
      <c r="F317" s="2"/>
      <c r="G317" s="2"/>
      <c r="H317" s="2"/>
      <c r="I317" s="2"/>
      <c r="J317" s="7"/>
      <c r="M317" s="2"/>
      <c r="N317" s="2"/>
      <c r="O317" s="7"/>
      <c r="P317" s="2"/>
      <c r="Q317" s="2"/>
      <c r="R317" s="2"/>
      <c r="S317" s="2"/>
      <c r="T317" s="2"/>
      <c r="U317" s="7"/>
      <c r="V317" s="37"/>
      <c r="W317" s="37"/>
      <c r="X317" s="37"/>
      <c r="Y317" s="37"/>
      <c r="Z317" s="37"/>
      <c r="AA317" s="37"/>
      <c r="AB317" s="37"/>
      <c r="AC317" s="37"/>
      <c r="AD317" s="37"/>
      <c r="AE317" s="6"/>
    </row>
    <row r="318" spans="4:31" s="1" customFormat="1" x14ac:dyDescent="0.25">
      <c r="D318" s="5"/>
      <c r="E318" s="2"/>
      <c r="F318" s="2"/>
      <c r="G318" s="2"/>
      <c r="H318" s="2"/>
      <c r="I318" s="2"/>
      <c r="J318" s="7"/>
      <c r="M318" s="2"/>
      <c r="N318" s="2"/>
      <c r="O318" s="7"/>
      <c r="P318" s="2"/>
      <c r="Q318" s="2"/>
      <c r="R318" s="2"/>
      <c r="S318" s="2"/>
      <c r="T318" s="2"/>
      <c r="U318" s="7"/>
      <c r="V318" s="37"/>
      <c r="W318" s="37"/>
      <c r="X318" s="37"/>
      <c r="Y318" s="37"/>
      <c r="Z318" s="37"/>
      <c r="AA318" s="37"/>
      <c r="AB318" s="37"/>
      <c r="AC318" s="37"/>
      <c r="AD318" s="37"/>
      <c r="AE318" s="6"/>
    </row>
    <row r="319" spans="4:31" s="1" customFormat="1" x14ac:dyDescent="0.25">
      <c r="D319" s="5"/>
      <c r="E319" s="2"/>
      <c r="F319" s="2"/>
      <c r="G319" s="2"/>
      <c r="H319" s="2"/>
      <c r="I319" s="2"/>
      <c r="J319" s="7"/>
      <c r="M319" s="2"/>
      <c r="N319" s="2"/>
      <c r="O319" s="7"/>
      <c r="P319" s="2"/>
      <c r="Q319" s="2"/>
      <c r="R319" s="2"/>
      <c r="S319" s="2"/>
      <c r="T319" s="2"/>
      <c r="U319" s="7"/>
      <c r="V319" s="37"/>
      <c r="W319" s="37"/>
      <c r="X319" s="37"/>
      <c r="Y319" s="37"/>
      <c r="Z319" s="37"/>
      <c r="AA319" s="37"/>
      <c r="AB319" s="37"/>
      <c r="AC319" s="37"/>
      <c r="AD319" s="37"/>
      <c r="AE319" s="6"/>
    </row>
    <row r="320" spans="4:31" s="1" customFormat="1" x14ac:dyDescent="0.25">
      <c r="D320" s="5"/>
      <c r="E320" s="2"/>
      <c r="F320" s="2"/>
      <c r="G320" s="2"/>
      <c r="H320" s="2"/>
      <c r="I320" s="2"/>
      <c r="J320" s="7"/>
      <c r="M320" s="2"/>
      <c r="N320" s="2"/>
      <c r="O320" s="7"/>
      <c r="P320" s="2"/>
      <c r="Q320" s="2"/>
      <c r="R320" s="2"/>
      <c r="S320" s="2"/>
      <c r="T320" s="2"/>
      <c r="U320" s="7"/>
      <c r="V320" s="37"/>
      <c r="W320" s="37"/>
      <c r="X320" s="37"/>
      <c r="Y320" s="37"/>
      <c r="Z320" s="37"/>
      <c r="AA320" s="37"/>
      <c r="AB320" s="37"/>
      <c r="AC320" s="37"/>
      <c r="AD320" s="37"/>
      <c r="AE320" s="6"/>
    </row>
    <row r="321" spans="4:31" s="1" customFormat="1" x14ac:dyDescent="0.25">
      <c r="D321" s="5"/>
      <c r="E321" s="2"/>
      <c r="F321" s="2"/>
      <c r="G321" s="2"/>
      <c r="H321" s="2"/>
      <c r="I321" s="2"/>
      <c r="J321" s="7"/>
      <c r="M321" s="2"/>
      <c r="N321" s="2"/>
      <c r="O321" s="7"/>
      <c r="P321" s="2"/>
      <c r="Q321" s="2"/>
      <c r="R321" s="2"/>
      <c r="S321" s="2"/>
      <c r="T321" s="2"/>
      <c r="U321" s="7"/>
      <c r="V321" s="37"/>
      <c r="W321" s="37"/>
      <c r="X321" s="37"/>
      <c r="Y321" s="37"/>
      <c r="Z321" s="37"/>
      <c r="AA321" s="37"/>
      <c r="AB321" s="37"/>
      <c r="AC321" s="37"/>
      <c r="AD321" s="37"/>
      <c r="AE321" s="6"/>
    </row>
    <row r="322" spans="4:31" s="1" customFormat="1" x14ac:dyDescent="0.25">
      <c r="D322" s="5"/>
      <c r="E322" s="2"/>
      <c r="F322" s="2"/>
      <c r="G322" s="2"/>
      <c r="H322" s="2"/>
      <c r="I322" s="2"/>
      <c r="J322" s="7"/>
      <c r="M322" s="2"/>
      <c r="N322" s="2"/>
      <c r="O322" s="7"/>
      <c r="P322" s="2"/>
      <c r="Q322" s="2"/>
      <c r="R322" s="2"/>
      <c r="S322" s="2"/>
      <c r="T322" s="2"/>
      <c r="U322" s="7"/>
      <c r="V322" s="37"/>
      <c r="W322" s="37"/>
      <c r="X322" s="37"/>
      <c r="Y322" s="37"/>
      <c r="Z322" s="37"/>
      <c r="AA322" s="37"/>
      <c r="AB322" s="37"/>
      <c r="AC322" s="37"/>
      <c r="AD322" s="37"/>
      <c r="AE322" s="6"/>
    </row>
    <row r="323" spans="4:31" s="1" customFormat="1" x14ac:dyDescent="0.25">
      <c r="D323" s="5"/>
      <c r="E323" s="2"/>
      <c r="F323" s="2"/>
      <c r="G323" s="2"/>
      <c r="H323" s="2"/>
      <c r="I323" s="2"/>
      <c r="J323" s="7"/>
      <c r="M323" s="2"/>
      <c r="N323" s="2"/>
      <c r="O323" s="7"/>
      <c r="P323" s="2"/>
      <c r="Q323" s="2"/>
      <c r="R323" s="2"/>
      <c r="S323" s="2"/>
      <c r="T323" s="2"/>
      <c r="U323" s="7"/>
      <c r="V323" s="37"/>
      <c r="W323" s="37"/>
      <c r="X323" s="37"/>
      <c r="Y323" s="37"/>
      <c r="Z323" s="37"/>
      <c r="AA323" s="37"/>
      <c r="AB323" s="37"/>
      <c r="AC323" s="37"/>
      <c r="AD323" s="37"/>
      <c r="AE323" s="6"/>
    </row>
    <row r="324" spans="4:31" s="1" customFormat="1" x14ac:dyDescent="0.25">
      <c r="D324" s="5"/>
      <c r="E324" s="2"/>
      <c r="F324" s="2"/>
      <c r="G324" s="2"/>
      <c r="H324" s="2"/>
      <c r="I324" s="2"/>
      <c r="J324" s="7"/>
      <c r="M324" s="2"/>
      <c r="N324" s="2"/>
      <c r="O324" s="7"/>
      <c r="P324" s="2"/>
      <c r="Q324" s="2"/>
      <c r="R324" s="2"/>
      <c r="S324" s="2"/>
      <c r="T324" s="2"/>
      <c r="U324" s="7"/>
      <c r="V324" s="37"/>
      <c r="W324" s="37"/>
      <c r="X324" s="37"/>
      <c r="Y324" s="37"/>
      <c r="Z324" s="37"/>
      <c r="AA324" s="37"/>
      <c r="AB324" s="37"/>
      <c r="AC324" s="37"/>
      <c r="AD324" s="37"/>
      <c r="AE324" s="6"/>
    </row>
    <row r="325" spans="4:31" s="1" customFormat="1" x14ac:dyDescent="0.25">
      <c r="D325" s="5"/>
      <c r="E325" s="2"/>
      <c r="F325" s="2"/>
      <c r="G325" s="2"/>
      <c r="H325" s="2"/>
      <c r="I325" s="2"/>
      <c r="J325" s="7"/>
      <c r="M325" s="2"/>
      <c r="N325" s="2"/>
      <c r="O325" s="7"/>
      <c r="P325" s="2"/>
      <c r="Q325" s="2"/>
      <c r="R325" s="2"/>
      <c r="S325" s="2"/>
      <c r="T325" s="2"/>
      <c r="U325" s="7"/>
      <c r="V325" s="37"/>
      <c r="W325" s="37"/>
      <c r="X325" s="37"/>
      <c r="Y325" s="37"/>
      <c r="Z325" s="37"/>
      <c r="AA325" s="37"/>
      <c r="AB325" s="37"/>
      <c r="AC325" s="37"/>
      <c r="AD325" s="37"/>
      <c r="AE325" s="6"/>
    </row>
    <row r="326" spans="4:31" s="1" customFormat="1" x14ac:dyDescent="0.25">
      <c r="D326" s="5"/>
      <c r="E326" s="2"/>
      <c r="F326" s="2"/>
      <c r="G326" s="2"/>
      <c r="H326" s="2"/>
      <c r="I326" s="2"/>
      <c r="J326" s="7"/>
      <c r="M326" s="2"/>
      <c r="N326" s="2"/>
      <c r="O326" s="7"/>
      <c r="P326" s="2"/>
      <c r="Q326" s="2"/>
      <c r="R326" s="2"/>
      <c r="S326" s="2"/>
      <c r="T326" s="2"/>
      <c r="U326" s="7"/>
      <c r="V326" s="37"/>
      <c r="W326" s="37"/>
      <c r="X326" s="37"/>
      <c r="Y326" s="37"/>
      <c r="Z326" s="37"/>
      <c r="AA326" s="37"/>
      <c r="AB326" s="37"/>
      <c r="AC326" s="37"/>
      <c r="AD326" s="37"/>
      <c r="AE326" s="6"/>
    </row>
    <row r="327" spans="4:31" s="1" customFormat="1" x14ac:dyDescent="0.25">
      <c r="D327" s="5"/>
      <c r="E327" s="2"/>
      <c r="F327" s="2"/>
      <c r="G327" s="2"/>
      <c r="H327" s="2"/>
      <c r="I327" s="2"/>
      <c r="J327" s="7"/>
      <c r="M327" s="2"/>
      <c r="N327" s="2"/>
      <c r="O327" s="7"/>
      <c r="P327" s="2"/>
      <c r="Q327" s="2"/>
      <c r="R327" s="2"/>
      <c r="S327" s="2"/>
      <c r="T327" s="2"/>
      <c r="U327" s="7"/>
      <c r="V327" s="37"/>
      <c r="W327" s="37"/>
      <c r="X327" s="37"/>
      <c r="Y327" s="37"/>
      <c r="Z327" s="37"/>
      <c r="AA327" s="37"/>
      <c r="AB327" s="37"/>
      <c r="AC327" s="37"/>
      <c r="AD327" s="37"/>
      <c r="AE327" s="6"/>
    </row>
    <row r="328" spans="4:31" s="1" customFormat="1" x14ac:dyDescent="0.25">
      <c r="D328" s="5"/>
      <c r="E328" s="2"/>
      <c r="F328" s="2"/>
      <c r="G328" s="2"/>
      <c r="H328" s="2"/>
      <c r="I328" s="2"/>
      <c r="J328" s="7"/>
      <c r="M328" s="2"/>
      <c r="N328" s="2"/>
      <c r="O328" s="7"/>
      <c r="P328" s="2"/>
      <c r="Q328" s="2"/>
      <c r="R328" s="2"/>
      <c r="S328" s="2"/>
      <c r="T328" s="2"/>
      <c r="U328" s="7"/>
      <c r="V328" s="37"/>
      <c r="W328" s="37"/>
      <c r="X328" s="37"/>
      <c r="Y328" s="37"/>
      <c r="Z328" s="37"/>
      <c r="AA328" s="37"/>
      <c r="AB328" s="37"/>
      <c r="AC328" s="37"/>
      <c r="AD328" s="37"/>
      <c r="AE328" s="6"/>
    </row>
    <row r="329" spans="4:31" s="1" customFormat="1" x14ac:dyDescent="0.25">
      <c r="D329" s="5"/>
      <c r="E329" s="2"/>
      <c r="F329" s="2"/>
      <c r="G329" s="2"/>
      <c r="H329" s="2"/>
      <c r="I329" s="2"/>
      <c r="J329" s="7"/>
      <c r="M329" s="2"/>
      <c r="N329" s="2"/>
      <c r="O329" s="7"/>
      <c r="P329" s="2"/>
      <c r="Q329" s="2"/>
      <c r="R329" s="2"/>
      <c r="S329" s="2"/>
      <c r="T329" s="2"/>
      <c r="U329" s="7"/>
      <c r="V329" s="37"/>
      <c r="W329" s="37"/>
      <c r="X329" s="37"/>
      <c r="Y329" s="37"/>
      <c r="Z329" s="37"/>
      <c r="AA329" s="37"/>
      <c r="AB329" s="37"/>
      <c r="AC329" s="37"/>
      <c r="AD329" s="37"/>
      <c r="AE329" s="6"/>
    </row>
    <row r="330" spans="4:31" s="1" customFormat="1" x14ac:dyDescent="0.25">
      <c r="D330" s="5"/>
      <c r="E330" s="2"/>
      <c r="F330" s="2"/>
      <c r="G330" s="2"/>
      <c r="H330" s="2"/>
      <c r="I330" s="2"/>
      <c r="J330" s="7"/>
      <c r="M330" s="2"/>
      <c r="N330" s="2"/>
      <c r="O330" s="7"/>
      <c r="P330" s="2"/>
      <c r="Q330" s="2"/>
      <c r="R330" s="2"/>
      <c r="S330" s="2"/>
      <c r="T330" s="2"/>
      <c r="U330" s="7"/>
      <c r="V330" s="37"/>
      <c r="W330" s="37"/>
      <c r="X330" s="37"/>
      <c r="Y330" s="37"/>
      <c r="Z330" s="37"/>
      <c r="AA330" s="37"/>
      <c r="AB330" s="37"/>
      <c r="AC330" s="37"/>
      <c r="AD330" s="37"/>
      <c r="AE330" s="6"/>
    </row>
    <row r="331" spans="4:31" s="1" customFormat="1" x14ac:dyDescent="0.25">
      <c r="D331" s="5"/>
      <c r="E331" s="2"/>
      <c r="F331" s="2"/>
      <c r="G331" s="2"/>
      <c r="H331" s="2"/>
      <c r="I331" s="2"/>
      <c r="J331" s="7"/>
      <c r="M331" s="2"/>
      <c r="N331" s="2"/>
      <c r="O331" s="7"/>
      <c r="P331" s="2"/>
      <c r="Q331" s="2"/>
      <c r="R331" s="2"/>
      <c r="S331" s="2"/>
      <c r="T331" s="2"/>
      <c r="U331" s="7"/>
      <c r="V331" s="37"/>
      <c r="W331" s="37"/>
      <c r="X331" s="37"/>
      <c r="Y331" s="37"/>
      <c r="Z331" s="37"/>
      <c r="AA331" s="37"/>
      <c r="AB331" s="37"/>
      <c r="AC331" s="37"/>
      <c r="AD331" s="37"/>
      <c r="AE331" s="6"/>
    </row>
    <row r="332" spans="4:31" s="1" customFormat="1" x14ac:dyDescent="0.25">
      <c r="D332" s="5"/>
      <c r="E332" s="2"/>
      <c r="F332" s="2"/>
      <c r="G332" s="2"/>
      <c r="H332" s="2"/>
      <c r="I332" s="2"/>
      <c r="J332" s="7"/>
      <c r="M332" s="2"/>
      <c r="N332" s="2"/>
      <c r="O332" s="7"/>
      <c r="P332" s="2"/>
      <c r="Q332" s="2"/>
      <c r="R332" s="2"/>
      <c r="S332" s="2"/>
      <c r="T332" s="2"/>
      <c r="U332" s="7"/>
      <c r="V332" s="37"/>
      <c r="W332" s="37"/>
      <c r="X332" s="37"/>
      <c r="Y332" s="37"/>
      <c r="Z332" s="37"/>
      <c r="AA332" s="37"/>
      <c r="AB332" s="37"/>
      <c r="AC332" s="37"/>
      <c r="AD332" s="37"/>
      <c r="AE332" s="6"/>
    </row>
    <row r="333" spans="4:31" s="1" customFormat="1" x14ac:dyDescent="0.25">
      <c r="D333" s="5"/>
      <c r="E333" s="2"/>
      <c r="F333" s="2"/>
      <c r="G333" s="2"/>
      <c r="H333" s="2"/>
      <c r="I333" s="2"/>
      <c r="J333" s="7"/>
      <c r="M333" s="2"/>
      <c r="N333" s="2"/>
      <c r="O333" s="7"/>
      <c r="P333" s="2"/>
      <c r="Q333" s="2"/>
      <c r="R333" s="2"/>
      <c r="S333" s="2"/>
      <c r="T333" s="2"/>
      <c r="U333" s="7"/>
      <c r="V333" s="37"/>
      <c r="W333" s="37"/>
      <c r="X333" s="37"/>
      <c r="Y333" s="37"/>
      <c r="Z333" s="37"/>
      <c r="AA333" s="37"/>
      <c r="AB333" s="37"/>
      <c r="AC333" s="37"/>
      <c r="AD333" s="37"/>
      <c r="AE333" s="6"/>
    </row>
    <row r="334" spans="4:31" s="1" customFormat="1" x14ac:dyDescent="0.25">
      <c r="D334" s="5"/>
      <c r="E334" s="2"/>
      <c r="F334" s="2"/>
      <c r="G334" s="2"/>
      <c r="H334" s="2"/>
      <c r="I334" s="2"/>
      <c r="J334" s="7"/>
      <c r="M334" s="2"/>
      <c r="N334" s="2"/>
      <c r="O334" s="7"/>
      <c r="P334" s="2"/>
      <c r="Q334" s="2"/>
      <c r="R334" s="2"/>
      <c r="S334" s="2"/>
      <c r="T334" s="2"/>
      <c r="U334" s="7"/>
      <c r="V334" s="37"/>
      <c r="W334" s="37"/>
      <c r="X334" s="37"/>
      <c r="Y334" s="37"/>
      <c r="Z334" s="37"/>
      <c r="AA334" s="37"/>
      <c r="AB334" s="37"/>
      <c r="AC334" s="37"/>
      <c r="AD334" s="37"/>
      <c r="AE334" s="6"/>
    </row>
    <row r="335" spans="4:31" s="1" customFormat="1" x14ac:dyDescent="0.25">
      <c r="D335" s="5"/>
      <c r="E335" s="2"/>
      <c r="F335" s="2"/>
      <c r="G335" s="2"/>
      <c r="H335" s="2"/>
      <c r="I335" s="2"/>
      <c r="J335" s="7"/>
      <c r="M335" s="2"/>
      <c r="N335" s="2"/>
      <c r="O335" s="7"/>
      <c r="P335" s="2"/>
      <c r="Q335" s="2"/>
      <c r="R335" s="2"/>
      <c r="S335" s="2"/>
      <c r="T335" s="2"/>
      <c r="U335" s="7"/>
      <c r="V335" s="37"/>
      <c r="W335" s="37"/>
      <c r="X335" s="37"/>
      <c r="Y335" s="37"/>
      <c r="Z335" s="37"/>
      <c r="AA335" s="37"/>
      <c r="AB335" s="37"/>
      <c r="AC335" s="37"/>
      <c r="AD335" s="37"/>
      <c r="AE335" s="6"/>
    </row>
    <row r="336" spans="4:31" s="1" customFormat="1" x14ac:dyDescent="0.25">
      <c r="D336" s="5"/>
      <c r="E336" s="2"/>
      <c r="F336" s="2"/>
      <c r="G336" s="2"/>
      <c r="H336" s="2"/>
      <c r="I336" s="2"/>
      <c r="J336" s="7"/>
      <c r="M336" s="2"/>
      <c r="N336" s="2"/>
      <c r="O336" s="7"/>
      <c r="P336" s="2"/>
      <c r="Q336" s="2"/>
      <c r="R336" s="2"/>
      <c r="S336" s="2"/>
      <c r="T336" s="2"/>
      <c r="U336" s="7"/>
      <c r="V336" s="37"/>
      <c r="W336" s="37"/>
      <c r="X336" s="37"/>
      <c r="Y336" s="37"/>
      <c r="Z336" s="37"/>
      <c r="AA336" s="37"/>
      <c r="AB336" s="37"/>
      <c r="AC336" s="37"/>
      <c r="AD336" s="37"/>
      <c r="AE336" s="6"/>
    </row>
    <row r="337" spans="4:31" s="1" customFormat="1" x14ac:dyDescent="0.25">
      <c r="D337" s="5"/>
      <c r="E337" s="2"/>
      <c r="F337" s="2"/>
      <c r="G337" s="2"/>
      <c r="H337" s="2"/>
      <c r="I337" s="2"/>
      <c r="J337" s="7"/>
      <c r="M337" s="2"/>
      <c r="N337" s="2"/>
      <c r="O337" s="7"/>
      <c r="P337" s="2"/>
      <c r="Q337" s="2"/>
      <c r="R337" s="2"/>
      <c r="S337" s="2"/>
      <c r="T337" s="2"/>
      <c r="U337" s="7"/>
      <c r="V337" s="37"/>
      <c r="W337" s="37"/>
      <c r="X337" s="37"/>
      <c r="Y337" s="37"/>
      <c r="Z337" s="37"/>
      <c r="AA337" s="37"/>
      <c r="AB337" s="37"/>
      <c r="AC337" s="37"/>
      <c r="AD337" s="37"/>
      <c r="AE337" s="6"/>
    </row>
    <row r="338" spans="4:31" s="1" customFormat="1" x14ac:dyDescent="0.25">
      <c r="D338" s="5"/>
      <c r="E338" s="2"/>
      <c r="F338" s="2"/>
      <c r="G338" s="2"/>
      <c r="H338" s="2"/>
      <c r="I338" s="2"/>
      <c r="J338" s="7"/>
      <c r="M338" s="2"/>
      <c r="N338" s="2"/>
      <c r="O338" s="7"/>
      <c r="P338" s="2"/>
      <c r="Q338" s="2"/>
      <c r="R338" s="2"/>
      <c r="S338" s="2"/>
      <c r="T338" s="2"/>
      <c r="U338" s="7"/>
      <c r="V338" s="37"/>
      <c r="W338" s="37"/>
      <c r="X338" s="37"/>
      <c r="Y338" s="37"/>
      <c r="Z338" s="37"/>
      <c r="AA338" s="37"/>
      <c r="AB338" s="37"/>
      <c r="AC338" s="37"/>
      <c r="AD338" s="37"/>
      <c r="AE338" s="6"/>
    </row>
    <row r="339" spans="4:31" s="1" customFormat="1" x14ac:dyDescent="0.25">
      <c r="D339" s="5"/>
      <c r="E339" s="2"/>
      <c r="F339" s="2"/>
      <c r="G339" s="2"/>
      <c r="H339" s="2"/>
      <c r="I339" s="2"/>
      <c r="J339" s="7"/>
      <c r="M339" s="2"/>
      <c r="N339" s="2"/>
      <c r="O339" s="7"/>
      <c r="P339" s="2"/>
      <c r="Q339" s="2"/>
      <c r="R339" s="2"/>
      <c r="S339" s="2"/>
      <c r="T339" s="2"/>
      <c r="U339" s="7"/>
      <c r="V339" s="37"/>
      <c r="W339" s="37"/>
      <c r="X339" s="37"/>
      <c r="Y339" s="37"/>
      <c r="Z339" s="37"/>
      <c r="AA339" s="37"/>
      <c r="AB339" s="37"/>
      <c r="AC339" s="37"/>
      <c r="AD339" s="37"/>
      <c r="AE339" s="6"/>
    </row>
    <row r="340" spans="4:31" s="1" customFormat="1" x14ac:dyDescent="0.25">
      <c r="D340" s="5"/>
      <c r="E340" s="2"/>
      <c r="F340" s="2"/>
      <c r="G340" s="2"/>
      <c r="H340" s="2"/>
      <c r="I340" s="2"/>
      <c r="J340" s="7"/>
      <c r="M340" s="2"/>
      <c r="N340" s="2"/>
      <c r="O340" s="7"/>
      <c r="P340" s="2"/>
      <c r="Q340" s="2"/>
      <c r="R340" s="2"/>
      <c r="S340" s="2"/>
      <c r="T340" s="2"/>
      <c r="U340" s="7"/>
      <c r="V340" s="37"/>
      <c r="W340" s="37"/>
      <c r="X340" s="37"/>
      <c r="Y340" s="37"/>
      <c r="Z340" s="37"/>
      <c r="AA340" s="37"/>
      <c r="AB340" s="37"/>
      <c r="AC340" s="37"/>
      <c r="AD340" s="37"/>
      <c r="AE340" s="6"/>
    </row>
    <row r="341" spans="4:31" s="1" customFormat="1" x14ac:dyDescent="0.25">
      <c r="D341" s="5"/>
      <c r="E341" s="2"/>
      <c r="F341" s="2"/>
      <c r="G341" s="2"/>
      <c r="H341" s="2"/>
      <c r="I341" s="2"/>
      <c r="J341" s="7"/>
      <c r="M341" s="2"/>
      <c r="N341" s="2"/>
      <c r="O341" s="7"/>
      <c r="P341" s="2"/>
      <c r="Q341" s="2"/>
      <c r="R341" s="2"/>
      <c r="S341" s="2"/>
      <c r="T341" s="2"/>
      <c r="U341" s="7"/>
      <c r="V341" s="37"/>
      <c r="W341" s="37"/>
      <c r="X341" s="37"/>
      <c r="Y341" s="37"/>
      <c r="Z341" s="37"/>
      <c r="AA341" s="37"/>
      <c r="AB341" s="37"/>
      <c r="AC341" s="37"/>
      <c r="AD341" s="37"/>
      <c r="AE341" s="6"/>
    </row>
    <row r="342" spans="4:31" s="1" customFormat="1" x14ac:dyDescent="0.25">
      <c r="D342" s="5"/>
      <c r="E342" s="2"/>
      <c r="F342" s="2"/>
      <c r="G342" s="2"/>
      <c r="H342" s="2"/>
      <c r="I342" s="2"/>
      <c r="J342" s="7"/>
      <c r="M342" s="2"/>
      <c r="N342" s="2"/>
      <c r="O342" s="7"/>
      <c r="P342" s="2"/>
      <c r="Q342" s="2"/>
      <c r="R342" s="2"/>
      <c r="S342" s="2"/>
      <c r="T342" s="2"/>
      <c r="U342" s="7"/>
      <c r="V342" s="37"/>
      <c r="W342" s="37"/>
      <c r="X342" s="37"/>
      <c r="Y342" s="37"/>
      <c r="Z342" s="37"/>
      <c r="AA342" s="37"/>
      <c r="AB342" s="37"/>
      <c r="AC342" s="37"/>
      <c r="AD342" s="37"/>
      <c r="AE342" s="6"/>
    </row>
    <row r="343" spans="4:31" s="1" customFormat="1" x14ac:dyDescent="0.25">
      <c r="D343" s="5"/>
      <c r="E343" s="2"/>
      <c r="F343" s="2"/>
      <c r="G343" s="2"/>
      <c r="H343" s="2"/>
      <c r="I343" s="2"/>
      <c r="J343" s="7"/>
      <c r="M343" s="2"/>
      <c r="N343" s="2"/>
      <c r="O343" s="7"/>
      <c r="P343" s="2"/>
      <c r="Q343" s="2"/>
      <c r="R343" s="2"/>
      <c r="S343" s="2"/>
      <c r="T343" s="2"/>
      <c r="U343" s="7"/>
      <c r="V343" s="37"/>
      <c r="W343" s="37"/>
      <c r="X343" s="37"/>
      <c r="Y343" s="37"/>
      <c r="Z343" s="37"/>
      <c r="AA343" s="37"/>
      <c r="AB343" s="37"/>
      <c r="AC343" s="37"/>
      <c r="AD343" s="37"/>
      <c r="AE343" s="6"/>
    </row>
    <row r="344" spans="4:31" s="1" customFormat="1" x14ac:dyDescent="0.25">
      <c r="D344" s="5"/>
      <c r="E344" s="2"/>
      <c r="F344" s="2"/>
      <c r="G344" s="2"/>
      <c r="H344" s="2"/>
      <c r="I344" s="2"/>
      <c r="J344" s="7"/>
      <c r="M344" s="2"/>
      <c r="N344" s="2"/>
      <c r="O344" s="7"/>
      <c r="P344" s="2"/>
      <c r="Q344" s="2"/>
      <c r="R344" s="2"/>
      <c r="S344" s="2"/>
      <c r="T344" s="2"/>
      <c r="U344" s="7"/>
      <c r="V344" s="37"/>
      <c r="W344" s="37"/>
      <c r="X344" s="37"/>
      <c r="Y344" s="37"/>
      <c r="Z344" s="37"/>
      <c r="AA344" s="37"/>
      <c r="AB344" s="37"/>
      <c r="AC344" s="37"/>
      <c r="AD344" s="37"/>
      <c r="AE344" s="6"/>
    </row>
    <row r="345" spans="4:31" s="1" customFormat="1" x14ac:dyDescent="0.25">
      <c r="D345" s="5"/>
      <c r="E345" s="2"/>
      <c r="F345" s="2"/>
      <c r="G345" s="2"/>
      <c r="H345" s="2"/>
      <c r="I345" s="2"/>
      <c r="J345" s="7"/>
      <c r="M345" s="2"/>
      <c r="N345" s="2"/>
      <c r="O345" s="7"/>
      <c r="P345" s="2"/>
      <c r="Q345" s="2"/>
      <c r="R345" s="2"/>
      <c r="S345" s="2"/>
      <c r="T345" s="2"/>
      <c r="U345" s="7"/>
      <c r="V345" s="37"/>
      <c r="W345" s="37"/>
      <c r="X345" s="37"/>
      <c r="Y345" s="37"/>
      <c r="Z345" s="37"/>
      <c r="AA345" s="37"/>
      <c r="AB345" s="37"/>
      <c r="AC345" s="37"/>
      <c r="AD345" s="37"/>
      <c r="AE345" s="6"/>
    </row>
    <row r="346" spans="4:31" s="1" customFormat="1" x14ac:dyDescent="0.25">
      <c r="D346" s="5"/>
      <c r="E346" s="2"/>
      <c r="F346" s="2"/>
      <c r="G346" s="2"/>
      <c r="H346" s="2"/>
      <c r="I346" s="2"/>
      <c r="J346" s="7"/>
      <c r="M346" s="2"/>
      <c r="N346" s="2"/>
      <c r="O346" s="7"/>
      <c r="P346" s="2"/>
      <c r="Q346" s="2"/>
      <c r="R346" s="2"/>
      <c r="S346" s="2"/>
      <c r="T346" s="2"/>
      <c r="U346" s="7"/>
      <c r="V346" s="37"/>
      <c r="W346" s="37"/>
      <c r="X346" s="37"/>
      <c r="Y346" s="37"/>
      <c r="Z346" s="37"/>
      <c r="AA346" s="37"/>
      <c r="AB346" s="37"/>
      <c r="AC346" s="37"/>
      <c r="AD346" s="37"/>
      <c r="AE346" s="6"/>
    </row>
    <row r="347" spans="4:31" s="1" customFormat="1" x14ac:dyDescent="0.25">
      <c r="D347" s="5"/>
      <c r="E347" s="2"/>
      <c r="F347" s="2"/>
      <c r="G347" s="2"/>
      <c r="H347" s="2"/>
      <c r="I347" s="2"/>
      <c r="J347" s="7"/>
      <c r="M347" s="2"/>
      <c r="N347" s="2"/>
      <c r="O347" s="7"/>
      <c r="P347" s="2"/>
      <c r="Q347" s="2"/>
      <c r="R347" s="2"/>
      <c r="S347" s="2"/>
      <c r="T347" s="2"/>
      <c r="U347" s="7"/>
      <c r="V347" s="37"/>
      <c r="W347" s="37"/>
      <c r="X347" s="37"/>
      <c r="Y347" s="37"/>
      <c r="Z347" s="37"/>
      <c r="AA347" s="37"/>
      <c r="AB347" s="37"/>
      <c r="AC347" s="37"/>
      <c r="AD347" s="37"/>
      <c r="AE347" s="6"/>
    </row>
    <row r="348" spans="4:31" s="1" customFormat="1" x14ac:dyDescent="0.25">
      <c r="D348" s="5"/>
      <c r="E348" s="2"/>
      <c r="F348" s="2"/>
      <c r="G348" s="2"/>
      <c r="H348" s="2"/>
      <c r="I348" s="2"/>
      <c r="J348" s="7"/>
      <c r="M348" s="2"/>
      <c r="N348" s="2"/>
      <c r="O348" s="7"/>
      <c r="P348" s="2"/>
      <c r="Q348" s="2"/>
      <c r="R348" s="2"/>
      <c r="S348" s="2"/>
      <c r="T348" s="2"/>
      <c r="U348" s="7"/>
      <c r="V348" s="37"/>
      <c r="W348" s="37"/>
      <c r="X348" s="37"/>
      <c r="Y348" s="37"/>
      <c r="Z348" s="37"/>
      <c r="AA348" s="37"/>
      <c r="AB348" s="37"/>
      <c r="AC348" s="37"/>
      <c r="AD348" s="37"/>
      <c r="AE348" s="6"/>
    </row>
    <row r="349" spans="4:31" s="1" customFormat="1" x14ac:dyDescent="0.25">
      <c r="D349" s="5"/>
      <c r="E349" s="2"/>
      <c r="F349" s="2"/>
      <c r="G349" s="2"/>
      <c r="H349" s="2"/>
      <c r="I349" s="2"/>
      <c r="J349" s="7"/>
      <c r="M349" s="2"/>
      <c r="N349" s="2"/>
      <c r="O349" s="7"/>
      <c r="P349" s="2"/>
      <c r="Q349" s="2"/>
      <c r="R349" s="2"/>
      <c r="S349" s="2"/>
      <c r="T349" s="2"/>
      <c r="U349" s="7"/>
      <c r="V349" s="37"/>
      <c r="W349" s="37"/>
      <c r="X349" s="37"/>
      <c r="Y349" s="37"/>
      <c r="Z349" s="37"/>
      <c r="AA349" s="37"/>
      <c r="AB349" s="37"/>
      <c r="AC349" s="37"/>
      <c r="AD349" s="37"/>
      <c r="AE349" s="6"/>
    </row>
    <row r="350" spans="4:31" s="1" customFormat="1" x14ac:dyDescent="0.25">
      <c r="D350" s="5"/>
      <c r="E350" s="2"/>
      <c r="F350" s="2"/>
      <c r="G350" s="2"/>
      <c r="H350" s="2"/>
      <c r="I350" s="2"/>
      <c r="J350" s="7"/>
      <c r="M350" s="2"/>
      <c r="N350" s="2"/>
      <c r="O350" s="7"/>
      <c r="P350" s="2"/>
      <c r="Q350" s="2"/>
      <c r="R350" s="2"/>
      <c r="S350" s="2"/>
      <c r="T350" s="2"/>
      <c r="U350" s="7"/>
      <c r="V350" s="37"/>
      <c r="W350" s="37"/>
      <c r="X350" s="37"/>
      <c r="Y350" s="37"/>
      <c r="Z350" s="37"/>
      <c r="AA350" s="37"/>
      <c r="AB350" s="37"/>
      <c r="AC350" s="37"/>
      <c r="AD350" s="37"/>
      <c r="AE350" s="6"/>
    </row>
    <row r="351" spans="4:31" s="1" customFormat="1" x14ac:dyDescent="0.25">
      <c r="D351" s="5"/>
      <c r="E351" s="2"/>
      <c r="F351" s="2"/>
      <c r="G351" s="2"/>
      <c r="H351" s="2"/>
      <c r="I351" s="2"/>
      <c r="J351" s="7"/>
      <c r="M351" s="2"/>
      <c r="N351" s="2"/>
      <c r="O351" s="7"/>
      <c r="P351" s="2"/>
      <c r="Q351" s="2"/>
      <c r="R351" s="2"/>
      <c r="S351" s="2"/>
      <c r="T351" s="2"/>
      <c r="U351" s="7"/>
      <c r="V351" s="37"/>
      <c r="W351" s="37"/>
      <c r="X351" s="37"/>
      <c r="Y351" s="37"/>
      <c r="Z351" s="37"/>
      <c r="AA351" s="37"/>
      <c r="AB351" s="37"/>
      <c r="AC351" s="37"/>
      <c r="AD351" s="37"/>
      <c r="AE351" s="6"/>
    </row>
    <row r="352" spans="4:31" s="1" customFormat="1" x14ac:dyDescent="0.25">
      <c r="D352" s="5"/>
      <c r="E352" s="2"/>
      <c r="F352" s="2"/>
      <c r="G352" s="2"/>
      <c r="H352" s="2"/>
      <c r="I352" s="2"/>
      <c r="J352" s="7"/>
      <c r="M352" s="2"/>
      <c r="N352" s="2"/>
      <c r="O352" s="7"/>
      <c r="P352" s="2"/>
      <c r="Q352" s="2"/>
      <c r="R352" s="2"/>
      <c r="S352" s="2"/>
      <c r="T352" s="2"/>
      <c r="U352" s="7"/>
      <c r="V352" s="37"/>
      <c r="W352" s="37"/>
      <c r="X352" s="37"/>
      <c r="Y352" s="37"/>
      <c r="Z352" s="37"/>
      <c r="AA352" s="37"/>
      <c r="AB352" s="37"/>
      <c r="AC352" s="37"/>
      <c r="AD352" s="37"/>
      <c r="AE352" s="6"/>
    </row>
    <row r="353" spans="4:31" s="1" customFormat="1" x14ac:dyDescent="0.25">
      <c r="D353" s="5"/>
      <c r="E353" s="2"/>
      <c r="F353" s="2"/>
      <c r="G353" s="2"/>
      <c r="H353" s="2"/>
      <c r="I353" s="2"/>
      <c r="J353" s="7"/>
      <c r="M353" s="2"/>
      <c r="N353" s="2"/>
      <c r="O353" s="7"/>
      <c r="P353" s="2"/>
      <c r="Q353" s="2"/>
      <c r="R353" s="2"/>
      <c r="S353" s="2"/>
      <c r="T353" s="2"/>
      <c r="U353" s="7"/>
      <c r="V353" s="37"/>
      <c r="W353" s="37"/>
      <c r="X353" s="37"/>
      <c r="Y353" s="37"/>
      <c r="Z353" s="37"/>
      <c r="AA353" s="37"/>
      <c r="AB353" s="37"/>
      <c r="AC353" s="37"/>
      <c r="AD353" s="37"/>
      <c r="AE353" s="6"/>
    </row>
    <row r="354" spans="4:31" s="1" customFormat="1" x14ac:dyDescent="0.25">
      <c r="D354" s="5"/>
      <c r="E354" s="2"/>
      <c r="F354" s="2"/>
      <c r="G354" s="2"/>
      <c r="H354" s="2"/>
      <c r="I354" s="2"/>
      <c r="J354" s="7"/>
      <c r="M354" s="2"/>
      <c r="N354" s="2"/>
      <c r="O354" s="7"/>
      <c r="P354" s="2"/>
      <c r="Q354" s="2"/>
      <c r="R354" s="2"/>
      <c r="S354" s="2"/>
      <c r="T354" s="2"/>
      <c r="U354" s="7"/>
      <c r="V354" s="37"/>
      <c r="W354" s="37"/>
      <c r="X354" s="37"/>
      <c r="Y354" s="37"/>
      <c r="Z354" s="37"/>
      <c r="AA354" s="37"/>
      <c r="AB354" s="37"/>
      <c r="AC354" s="37"/>
      <c r="AD354" s="37"/>
      <c r="AE354" s="6"/>
    </row>
    <row r="355" spans="4:31" s="1" customFormat="1" x14ac:dyDescent="0.25">
      <c r="D355" s="5"/>
      <c r="E355" s="2"/>
      <c r="F355" s="2"/>
      <c r="G355" s="2"/>
      <c r="H355" s="2"/>
      <c r="I355" s="2"/>
      <c r="J355" s="7"/>
      <c r="M355" s="2"/>
      <c r="N355" s="2"/>
      <c r="O355" s="7"/>
      <c r="P355" s="2"/>
      <c r="Q355" s="2"/>
      <c r="R355" s="2"/>
      <c r="S355" s="2"/>
      <c r="T355" s="2"/>
      <c r="U355" s="7"/>
      <c r="V355" s="37"/>
      <c r="W355" s="37"/>
      <c r="X355" s="37"/>
      <c r="Y355" s="37"/>
      <c r="Z355" s="37"/>
      <c r="AA355" s="37"/>
      <c r="AB355" s="37"/>
      <c r="AC355" s="37"/>
      <c r="AD355" s="37"/>
      <c r="AE355" s="6"/>
    </row>
    <row r="356" spans="4:31" s="1" customFormat="1" x14ac:dyDescent="0.25">
      <c r="D356" s="5"/>
      <c r="E356" s="2"/>
      <c r="F356" s="2"/>
      <c r="G356" s="2"/>
      <c r="H356" s="2"/>
      <c r="I356" s="2"/>
      <c r="J356" s="7"/>
      <c r="M356" s="2"/>
      <c r="N356" s="2"/>
      <c r="O356" s="7"/>
      <c r="P356" s="2"/>
      <c r="Q356" s="2"/>
      <c r="R356" s="2"/>
      <c r="S356" s="2"/>
      <c r="T356" s="2"/>
      <c r="U356" s="7"/>
      <c r="V356" s="37"/>
      <c r="W356" s="37"/>
      <c r="X356" s="37"/>
      <c r="Y356" s="37"/>
      <c r="Z356" s="37"/>
      <c r="AA356" s="37"/>
      <c r="AB356" s="37"/>
      <c r="AC356" s="37"/>
      <c r="AD356" s="37"/>
      <c r="AE356" s="6"/>
    </row>
    <row r="357" spans="4:31" s="1" customFormat="1" x14ac:dyDescent="0.25">
      <c r="D357" s="5"/>
      <c r="E357" s="2"/>
      <c r="F357" s="2"/>
      <c r="G357" s="2"/>
      <c r="H357" s="2"/>
      <c r="I357" s="2"/>
      <c r="J357" s="7"/>
      <c r="M357" s="2"/>
      <c r="N357" s="2"/>
      <c r="O357" s="7"/>
      <c r="P357" s="2"/>
      <c r="Q357" s="2"/>
      <c r="R357" s="2"/>
      <c r="S357" s="2"/>
      <c r="T357" s="2"/>
      <c r="U357" s="7"/>
      <c r="V357" s="37"/>
      <c r="W357" s="37"/>
      <c r="X357" s="37"/>
      <c r="Y357" s="37"/>
      <c r="Z357" s="37"/>
      <c r="AA357" s="37"/>
      <c r="AB357" s="37"/>
      <c r="AC357" s="37"/>
      <c r="AD357" s="37"/>
      <c r="AE357" s="6"/>
    </row>
    <row r="358" spans="4:31" s="1" customFormat="1" x14ac:dyDescent="0.25">
      <c r="D358" s="5"/>
      <c r="E358" s="2"/>
      <c r="F358" s="2"/>
      <c r="G358" s="2"/>
      <c r="H358" s="2"/>
      <c r="I358" s="2"/>
      <c r="J358" s="7"/>
      <c r="M358" s="2"/>
      <c r="N358" s="2"/>
      <c r="O358" s="7"/>
      <c r="P358" s="2"/>
      <c r="Q358" s="2"/>
      <c r="R358" s="2"/>
      <c r="S358" s="2"/>
      <c r="T358" s="2"/>
      <c r="U358" s="7"/>
      <c r="V358" s="37"/>
      <c r="W358" s="37"/>
      <c r="X358" s="37"/>
      <c r="Y358" s="37"/>
      <c r="Z358" s="37"/>
      <c r="AA358" s="37"/>
      <c r="AB358" s="37"/>
      <c r="AC358" s="37"/>
      <c r="AD358" s="37"/>
      <c r="AE358" s="6"/>
    </row>
    <row r="359" spans="4:31" s="1" customFormat="1" x14ac:dyDescent="0.25">
      <c r="D359" s="5"/>
      <c r="E359" s="2"/>
      <c r="F359" s="2"/>
      <c r="G359" s="2"/>
      <c r="H359" s="2"/>
      <c r="I359" s="2"/>
      <c r="J359" s="7"/>
      <c r="M359" s="2"/>
      <c r="N359" s="2"/>
      <c r="O359" s="7"/>
      <c r="P359" s="2"/>
      <c r="Q359" s="2"/>
      <c r="R359" s="2"/>
      <c r="S359" s="2"/>
      <c r="T359" s="2"/>
      <c r="U359" s="7"/>
      <c r="V359" s="37"/>
      <c r="W359" s="37"/>
      <c r="X359" s="37"/>
      <c r="Y359" s="37"/>
      <c r="Z359" s="37"/>
      <c r="AA359" s="37"/>
      <c r="AB359" s="37"/>
      <c r="AC359" s="37"/>
      <c r="AD359" s="37"/>
      <c r="AE359" s="6"/>
    </row>
    <row r="360" spans="4:31" s="1" customFormat="1" x14ac:dyDescent="0.25">
      <c r="D360" s="5"/>
      <c r="E360" s="2"/>
      <c r="F360" s="2"/>
      <c r="G360" s="2"/>
      <c r="H360" s="2"/>
      <c r="I360" s="2"/>
      <c r="J360" s="7"/>
      <c r="M360" s="2"/>
      <c r="N360" s="2"/>
      <c r="O360" s="7"/>
      <c r="P360" s="2"/>
      <c r="Q360" s="2"/>
      <c r="R360" s="2"/>
      <c r="S360" s="2"/>
      <c r="T360" s="2"/>
      <c r="U360" s="7"/>
      <c r="V360" s="37"/>
      <c r="W360" s="37"/>
      <c r="X360" s="37"/>
      <c r="Y360" s="37"/>
      <c r="Z360" s="37"/>
      <c r="AA360" s="37"/>
      <c r="AB360" s="37"/>
      <c r="AC360" s="37"/>
      <c r="AD360" s="37"/>
      <c r="AE360" s="6"/>
    </row>
    <row r="361" spans="4:31" s="1" customFormat="1" x14ac:dyDescent="0.25">
      <c r="D361" s="5"/>
      <c r="E361" s="2"/>
      <c r="F361" s="2"/>
      <c r="G361" s="2"/>
      <c r="H361" s="2"/>
      <c r="I361" s="2"/>
      <c r="J361" s="7"/>
      <c r="M361" s="2"/>
      <c r="N361" s="2"/>
      <c r="O361" s="7"/>
      <c r="P361" s="2"/>
      <c r="Q361" s="2"/>
      <c r="R361" s="2"/>
      <c r="S361" s="2"/>
      <c r="T361" s="2"/>
      <c r="U361" s="7"/>
      <c r="V361" s="37"/>
      <c r="W361" s="37"/>
      <c r="X361" s="37"/>
      <c r="Y361" s="37"/>
      <c r="Z361" s="37"/>
      <c r="AA361" s="37"/>
      <c r="AB361" s="37"/>
      <c r="AC361" s="37"/>
      <c r="AD361" s="37"/>
      <c r="AE361" s="6"/>
    </row>
    <row r="362" spans="4:31" s="1" customFormat="1" x14ac:dyDescent="0.25">
      <c r="D362" s="5"/>
      <c r="E362" s="2"/>
      <c r="F362" s="2"/>
      <c r="G362" s="2"/>
      <c r="H362" s="2"/>
      <c r="I362" s="2"/>
      <c r="J362" s="7"/>
      <c r="M362" s="2"/>
      <c r="N362" s="2"/>
      <c r="O362" s="7"/>
      <c r="P362" s="2"/>
      <c r="Q362" s="2"/>
      <c r="R362" s="2"/>
      <c r="S362" s="2"/>
      <c r="T362" s="2"/>
      <c r="U362" s="7"/>
      <c r="V362" s="37"/>
      <c r="W362" s="37"/>
      <c r="X362" s="37"/>
      <c r="Y362" s="37"/>
      <c r="Z362" s="37"/>
      <c r="AA362" s="37"/>
      <c r="AB362" s="37"/>
      <c r="AC362" s="37"/>
      <c r="AD362" s="37"/>
      <c r="AE362" s="6"/>
    </row>
    <row r="363" spans="4:31" s="1" customFormat="1" x14ac:dyDescent="0.25">
      <c r="D363" s="5"/>
      <c r="E363" s="2"/>
      <c r="F363" s="2"/>
      <c r="G363" s="2"/>
      <c r="H363" s="2"/>
      <c r="I363" s="2"/>
      <c r="J363" s="7"/>
      <c r="M363" s="2"/>
      <c r="N363" s="2"/>
      <c r="O363" s="7"/>
      <c r="P363" s="2"/>
      <c r="Q363" s="2"/>
      <c r="R363" s="2"/>
      <c r="S363" s="2"/>
      <c r="T363" s="2"/>
      <c r="U363" s="7"/>
      <c r="V363" s="37"/>
      <c r="W363" s="37"/>
      <c r="X363" s="37"/>
      <c r="Y363" s="37"/>
      <c r="Z363" s="37"/>
      <c r="AA363" s="37"/>
      <c r="AB363" s="37"/>
      <c r="AC363" s="37"/>
      <c r="AD363" s="37"/>
      <c r="AE363" s="6"/>
    </row>
    <row r="364" spans="4:31" s="1" customFormat="1" x14ac:dyDescent="0.25">
      <c r="D364" s="5"/>
      <c r="E364" s="2"/>
      <c r="F364" s="2"/>
      <c r="G364" s="2"/>
      <c r="H364" s="2"/>
      <c r="I364" s="2"/>
      <c r="J364" s="7"/>
      <c r="M364" s="2"/>
      <c r="N364" s="2"/>
      <c r="O364" s="7"/>
      <c r="P364" s="2"/>
      <c r="Q364" s="2"/>
      <c r="R364" s="2"/>
      <c r="S364" s="2"/>
      <c r="T364" s="2"/>
      <c r="U364" s="7"/>
      <c r="V364" s="37"/>
      <c r="W364" s="37"/>
      <c r="X364" s="37"/>
      <c r="Y364" s="37"/>
      <c r="Z364" s="37"/>
      <c r="AA364" s="37"/>
      <c r="AB364" s="37"/>
      <c r="AC364" s="37"/>
      <c r="AD364" s="37"/>
      <c r="AE364" s="6"/>
    </row>
    <row r="365" spans="4:31" s="1" customFormat="1" x14ac:dyDescent="0.25">
      <c r="D365" s="5"/>
      <c r="E365" s="2"/>
      <c r="F365" s="2"/>
      <c r="G365" s="2"/>
      <c r="H365" s="2"/>
      <c r="I365" s="2"/>
      <c r="J365" s="7"/>
      <c r="M365" s="2"/>
      <c r="N365" s="2"/>
      <c r="O365" s="7"/>
      <c r="P365" s="2"/>
      <c r="Q365" s="2"/>
      <c r="R365" s="2"/>
      <c r="S365" s="2"/>
      <c r="T365" s="2"/>
      <c r="U365" s="7"/>
      <c r="V365" s="37"/>
      <c r="W365" s="37"/>
      <c r="X365" s="37"/>
      <c r="Y365" s="37"/>
      <c r="Z365" s="37"/>
      <c r="AA365" s="37"/>
      <c r="AB365" s="37"/>
      <c r="AC365" s="37"/>
      <c r="AD365" s="37"/>
      <c r="AE365" s="6"/>
    </row>
    <row r="366" spans="4:31" s="1" customFormat="1" x14ac:dyDescent="0.25">
      <c r="D366" s="5"/>
      <c r="E366" s="2"/>
      <c r="F366" s="2"/>
      <c r="G366" s="2"/>
      <c r="H366" s="2"/>
      <c r="I366" s="2"/>
      <c r="J366" s="7"/>
      <c r="M366" s="2"/>
      <c r="N366" s="2"/>
      <c r="O366" s="7"/>
      <c r="P366" s="2"/>
      <c r="Q366" s="2"/>
      <c r="R366" s="2"/>
      <c r="S366" s="2"/>
      <c r="T366" s="2"/>
      <c r="U366" s="7"/>
      <c r="V366" s="37"/>
      <c r="W366" s="37"/>
      <c r="X366" s="37"/>
      <c r="Y366" s="37"/>
      <c r="Z366" s="37"/>
      <c r="AA366" s="37"/>
      <c r="AB366" s="37"/>
      <c r="AC366" s="37"/>
      <c r="AD366" s="37"/>
      <c r="AE366" s="6"/>
    </row>
    <row r="367" spans="4:31" s="1" customFormat="1" x14ac:dyDescent="0.25">
      <c r="D367" s="5"/>
      <c r="E367" s="2"/>
      <c r="F367" s="2"/>
      <c r="G367" s="2"/>
      <c r="H367" s="2"/>
      <c r="I367" s="2"/>
      <c r="J367" s="7"/>
      <c r="M367" s="2"/>
      <c r="N367" s="2"/>
      <c r="O367" s="7"/>
      <c r="P367" s="2"/>
      <c r="Q367" s="2"/>
      <c r="R367" s="2"/>
      <c r="S367" s="2"/>
      <c r="T367" s="2"/>
      <c r="U367" s="7"/>
      <c r="V367" s="37"/>
      <c r="W367" s="37"/>
      <c r="X367" s="37"/>
      <c r="Y367" s="37"/>
      <c r="Z367" s="37"/>
      <c r="AA367" s="37"/>
      <c r="AB367" s="37"/>
      <c r="AC367" s="37"/>
      <c r="AD367" s="37"/>
      <c r="AE367" s="6"/>
    </row>
    <row r="368" spans="4:31" s="1" customFormat="1" x14ac:dyDescent="0.25">
      <c r="D368" s="5"/>
      <c r="E368" s="2"/>
      <c r="F368" s="2"/>
      <c r="G368" s="2"/>
      <c r="H368" s="2"/>
      <c r="I368" s="2"/>
      <c r="J368" s="7"/>
      <c r="M368" s="2"/>
      <c r="N368" s="2"/>
      <c r="O368" s="7"/>
      <c r="P368" s="2"/>
      <c r="Q368" s="2"/>
      <c r="R368" s="2"/>
      <c r="S368" s="2"/>
      <c r="T368" s="2"/>
      <c r="U368" s="7"/>
      <c r="V368" s="37"/>
      <c r="W368" s="37"/>
      <c r="X368" s="37"/>
      <c r="Y368" s="37"/>
      <c r="Z368" s="37"/>
      <c r="AA368" s="37"/>
      <c r="AB368" s="37"/>
      <c r="AC368" s="37"/>
      <c r="AD368" s="37"/>
      <c r="AE368" s="6"/>
    </row>
    <row r="369" spans="4:31" s="1" customFormat="1" x14ac:dyDescent="0.25">
      <c r="D369" s="5"/>
      <c r="E369" s="2"/>
      <c r="F369" s="2"/>
      <c r="G369" s="2"/>
      <c r="H369" s="2"/>
      <c r="I369" s="2"/>
      <c r="J369" s="7"/>
      <c r="M369" s="2"/>
      <c r="N369" s="2"/>
      <c r="O369" s="7"/>
      <c r="P369" s="2"/>
      <c r="Q369" s="2"/>
      <c r="R369" s="2"/>
      <c r="S369" s="2"/>
      <c r="T369" s="2"/>
      <c r="U369" s="7"/>
      <c r="V369" s="37"/>
      <c r="W369" s="37"/>
      <c r="X369" s="37"/>
      <c r="Y369" s="37"/>
      <c r="Z369" s="37"/>
      <c r="AA369" s="37"/>
      <c r="AB369" s="37"/>
      <c r="AC369" s="37"/>
      <c r="AD369" s="37"/>
      <c r="AE369" s="6"/>
    </row>
    <row r="370" spans="4:31" s="1" customFormat="1" x14ac:dyDescent="0.25">
      <c r="D370" s="5"/>
      <c r="E370" s="2"/>
      <c r="F370" s="2"/>
      <c r="G370" s="2"/>
      <c r="H370" s="2"/>
      <c r="I370" s="2"/>
      <c r="J370" s="7"/>
      <c r="M370" s="2"/>
      <c r="N370" s="2"/>
      <c r="O370" s="7"/>
      <c r="P370" s="2"/>
      <c r="Q370" s="2"/>
      <c r="R370" s="2"/>
      <c r="S370" s="2"/>
      <c r="T370" s="2"/>
      <c r="U370" s="7"/>
      <c r="V370" s="37"/>
      <c r="W370" s="37"/>
      <c r="X370" s="37"/>
      <c r="Y370" s="37"/>
      <c r="Z370" s="37"/>
      <c r="AA370" s="37"/>
      <c r="AB370" s="37"/>
      <c r="AC370" s="37"/>
      <c r="AD370" s="37"/>
      <c r="AE370" s="6"/>
    </row>
    <row r="371" spans="4:31" s="1" customFormat="1" x14ac:dyDescent="0.25">
      <c r="D371" s="5"/>
      <c r="E371" s="2"/>
      <c r="F371" s="2"/>
      <c r="G371" s="2"/>
      <c r="H371" s="2"/>
      <c r="I371" s="2"/>
      <c r="J371" s="7"/>
      <c r="M371" s="2"/>
      <c r="N371" s="2"/>
      <c r="O371" s="7"/>
      <c r="P371" s="2"/>
      <c r="Q371" s="2"/>
      <c r="R371" s="2"/>
      <c r="S371" s="2"/>
      <c r="T371" s="2"/>
      <c r="U371" s="7"/>
      <c r="V371" s="37"/>
      <c r="W371" s="37"/>
      <c r="X371" s="37"/>
      <c r="Y371" s="37"/>
      <c r="Z371" s="37"/>
      <c r="AA371" s="37"/>
      <c r="AB371" s="37"/>
      <c r="AC371" s="37"/>
      <c r="AD371" s="37"/>
      <c r="AE371" s="6"/>
    </row>
    <row r="372" spans="4:31" s="1" customFormat="1" x14ac:dyDescent="0.25">
      <c r="D372" s="5"/>
      <c r="E372" s="2"/>
      <c r="F372" s="2"/>
      <c r="G372" s="2"/>
      <c r="H372" s="2"/>
      <c r="I372" s="2"/>
      <c r="J372" s="7"/>
      <c r="M372" s="2"/>
      <c r="N372" s="2"/>
      <c r="O372" s="7"/>
      <c r="P372" s="2"/>
      <c r="Q372" s="2"/>
      <c r="R372" s="2"/>
      <c r="S372" s="2"/>
      <c r="T372" s="2"/>
      <c r="U372" s="7"/>
      <c r="V372" s="37"/>
      <c r="W372" s="37"/>
      <c r="X372" s="37"/>
      <c r="Y372" s="37"/>
      <c r="Z372" s="37"/>
      <c r="AA372" s="37"/>
      <c r="AB372" s="37"/>
      <c r="AC372" s="37"/>
      <c r="AD372" s="37"/>
      <c r="AE372" s="6"/>
    </row>
    <row r="373" spans="4:31" s="1" customFormat="1" x14ac:dyDescent="0.25">
      <c r="D373" s="5"/>
      <c r="E373" s="2"/>
      <c r="F373" s="2"/>
      <c r="G373" s="2"/>
      <c r="H373" s="2"/>
      <c r="I373" s="2"/>
      <c r="J373" s="7"/>
      <c r="M373" s="2"/>
      <c r="N373" s="2"/>
      <c r="O373" s="7"/>
      <c r="P373" s="2"/>
      <c r="Q373" s="2"/>
      <c r="R373" s="2"/>
      <c r="S373" s="2"/>
      <c r="T373" s="2"/>
      <c r="U373" s="7"/>
      <c r="V373" s="37"/>
      <c r="W373" s="37"/>
      <c r="X373" s="37"/>
      <c r="Y373" s="37"/>
      <c r="Z373" s="37"/>
      <c r="AA373" s="37"/>
      <c r="AB373" s="37"/>
      <c r="AC373" s="37"/>
      <c r="AD373" s="37"/>
      <c r="AE373" s="6"/>
    </row>
    <row r="374" spans="4:31" s="1" customFormat="1" x14ac:dyDescent="0.25">
      <c r="D374" s="5"/>
      <c r="E374" s="2"/>
      <c r="F374" s="2"/>
      <c r="G374" s="2"/>
      <c r="H374" s="2"/>
      <c r="I374" s="2"/>
      <c r="J374" s="7"/>
      <c r="M374" s="2"/>
      <c r="N374" s="2"/>
      <c r="O374" s="7"/>
      <c r="P374" s="2"/>
      <c r="Q374" s="2"/>
      <c r="R374" s="2"/>
      <c r="S374" s="2"/>
      <c r="T374" s="2"/>
      <c r="U374" s="7"/>
      <c r="V374" s="37"/>
      <c r="W374" s="37"/>
      <c r="X374" s="37"/>
      <c r="Y374" s="37"/>
      <c r="Z374" s="37"/>
      <c r="AA374" s="37"/>
      <c r="AB374" s="37"/>
      <c r="AC374" s="37"/>
      <c r="AD374" s="37"/>
      <c r="AE374" s="6"/>
    </row>
    <row r="375" spans="4:31" s="1" customFormat="1" x14ac:dyDescent="0.25">
      <c r="D375" s="5"/>
      <c r="E375" s="2"/>
      <c r="F375" s="2"/>
      <c r="G375" s="2"/>
      <c r="H375" s="2"/>
      <c r="I375" s="2"/>
      <c r="J375" s="7"/>
      <c r="M375" s="2"/>
      <c r="N375" s="2"/>
      <c r="O375" s="7"/>
      <c r="P375" s="2"/>
      <c r="Q375" s="2"/>
      <c r="R375" s="2"/>
      <c r="S375" s="2"/>
      <c r="T375" s="2"/>
      <c r="U375" s="7"/>
      <c r="V375" s="37"/>
      <c r="W375" s="37"/>
      <c r="X375" s="37"/>
      <c r="Y375" s="37"/>
      <c r="Z375" s="37"/>
      <c r="AA375" s="37"/>
      <c r="AB375" s="37"/>
      <c r="AC375" s="37"/>
      <c r="AD375" s="37"/>
      <c r="AE375" s="6"/>
    </row>
    <row r="376" spans="4:31" s="1" customFormat="1" x14ac:dyDescent="0.25">
      <c r="D376" s="5"/>
      <c r="E376" s="2"/>
      <c r="F376" s="2"/>
      <c r="G376" s="2"/>
      <c r="H376" s="2"/>
      <c r="I376" s="2"/>
      <c r="J376" s="7"/>
      <c r="M376" s="2"/>
      <c r="N376" s="2"/>
      <c r="O376" s="7"/>
      <c r="P376" s="2"/>
      <c r="Q376" s="2"/>
      <c r="R376" s="2"/>
      <c r="S376" s="2"/>
      <c r="T376" s="2"/>
      <c r="U376" s="7"/>
      <c r="V376" s="37"/>
      <c r="W376" s="37"/>
      <c r="X376" s="37"/>
      <c r="Y376" s="37"/>
      <c r="Z376" s="37"/>
      <c r="AA376" s="37"/>
      <c r="AB376" s="37"/>
      <c r="AC376" s="37"/>
      <c r="AD376" s="37"/>
      <c r="AE376" s="6"/>
    </row>
    <row r="377" spans="4:31" s="1" customFormat="1" x14ac:dyDescent="0.25">
      <c r="D377" s="5"/>
      <c r="E377" s="2"/>
      <c r="F377" s="2"/>
      <c r="G377" s="2"/>
      <c r="H377" s="2"/>
      <c r="I377" s="2"/>
      <c r="J377" s="7"/>
      <c r="M377" s="2"/>
      <c r="N377" s="2"/>
      <c r="O377" s="7"/>
      <c r="P377" s="2"/>
      <c r="Q377" s="2"/>
      <c r="R377" s="2"/>
      <c r="S377" s="2"/>
      <c r="T377" s="2"/>
      <c r="U377" s="7"/>
      <c r="V377" s="37"/>
      <c r="W377" s="37"/>
      <c r="X377" s="37"/>
      <c r="Y377" s="37"/>
      <c r="Z377" s="37"/>
      <c r="AA377" s="37"/>
      <c r="AB377" s="37"/>
      <c r="AC377" s="37"/>
      <c r="AD377" s="37"/>
      <c r="AE377" s="6"/>
    </row>
    <row r="378" spans="4:31" s="1" customFormat="1" x14ac:dyDescent="0.25">
      <c r="D378" s="5"/>
      <c r="E378" s="2"/>
      <c r="F378" s="2"/>
      <c r="G378" s="2"/>
      <c r="H378" s="2"/>
      <c r="I378" s="2"/>
      <c r="J378" s="7"/>
      <c r="M378" s="2"/>
      <c r="N378" s="2"/>
      <c r="O378" s="7"/>
      <c r="P378" s="2"/>
      <c r="Q378" s="2"/>
      <c r="R378" s="2"/>
      <c r="S378" s="2"/>
      <c r="T378" s="2"/>
      <c r="U378" s="7"/>
      <c r="V378" s="37"/>
      <c r="W378" s="37"/>
      <c r="X378" s="37"/>
      <c r="Y378" s="37"/>
      <c r="Z378" s="37"/>
      <c r="AA378" s="37"/>
      <c r="AB378" s="37"/>
      <c r="AC378" s="37"/>
      <c r="AD378" s="37"/>
      <c r="AE378" s="6"/>
    </row>
    <row r="379" spans="4:31" s="1" customFormat="1" x14ac:dyDescent="0.25">
      <c r="D379" s="5"/>
      <c r="E379" s="2"/>
      <c r="F379" s="2"/>
      <c r="G379" s="2"/>
      <c r="H379" s="2"/>
      <c r="I379" s="2"/>
      <c r="J379" s="7"/>
      <c r="M379" s="2"/>
      <c r="N379" s="2"/>
      <c r="O379" s="7"/>
      <c r="P379" s="2"/>
      <c r="Q379" s="2"/>
      <c r="R379" s="2"/>
      <c r="S379" s="2"/>
      <c r="T379" s="2"/>
      <c r="U379" s="7"/>
      <c r="V379" s="37"/>
      <c r="W379" s="37"/>
      <c r="X379" s="37"/>
      <c r="Y379" s="37"/>
      <c r="Z379" s="37"/>
      <c r="AA379" s="37"/>
      <c r="AB379" s="37"/>
      <c r="AC379" s="37"/>
      <c r="AD379" s="37"/>
      <c r="AE379" s="6"/>
    </row>
    <row r="380" spans="4:31" s="1" customFormat="1" x14ac:dyDescent="0.25">
      <c r="D380" s="5"/>
      <c r="E380" s="2"/>
      <c r="F380" s="2"/>
      <c r="G380" s="2"/>
      <c r="H380" s="2"/>
      <c r="I380" s="2"/>
      <c r="J380" s="7"/>
      <c r="M380" s="2"/>
      <c r="N380" s="2"/>
      <c r="O380" s="7"/>
      <c r="P380" s="2"/>
      <c r="Q380" s="2"/>
      <c r="R380" s="2"/>
      <c r="S380" s="2"/>
      <c r="T380" s="2"/>
      <c r="U380" s="7"/>
      <c r="V380" s="37"/>
      <c r="W380" s="37"/>
      <c r="X380" s="37"/>
      <c r="Y380" s="37"/>
      <c r="Z380" s="37"/>
      <c r="AA380" s="37"/>
      <c r="AB380" s="37"/>
      <c r="AC380" s="37"/>
      <c r="AD380" s="37"/>
      <c r="AE380" s="6"/>
    </row>
    <row r="381" spans="4:31" s="1" customFormat="1" x14ac:dyDescent="0.25">
      <c r="D381" s="5"/>
      <c r="E381" s="2"/>
      <c r="F381" s="2"/>
      <c r="G381" s="2"/>
      <c r="H381" s="2"/>
      <c r="I381" s="2"/>
      <c r="J381" s="7"/>
      <c r="M381" s="2"/>
      <c r="N381" s="2"/>
      <c r="O381" s="7"/>
      <c r="P381" s="2"/>
      <c r="Q381" s="2"/>
      <c r="R381" s="2"/>
      <c r="S381" s="2"/>
      <c r="T381" s="2"/>
      <c r="U381" s="7"/>
      <c r="V381" s="37"/>
      <c r="W381" s="37"/>
      <c r="X381" s="37"/>
      <c r="Y381" s="37"/>
      <c r="Z381" s="37"/>
      <c r="AA381" s="37"/>
      <c r="AB381" s="37"/>
      <c r="AC381" s="37"/>
      <c r="AD381" s="37"/>
      <c r="AE381" s="6"/>
    </row>
    <row r="382" spans="4:31" s="1" customFormat="1" x14ac:dyDescent="0.25">
      <c r="D382" s="5"/>
      <c r="E382" s="2"/>
      <c r="F382" s="2"/>
      <c r="G382" s="2"/>
      <c r="H382" s="2"/>
      <c r="I382" s="2"/>
      <c r="J382" s="7"/>
      <c r="M382" s="2"/>
      <c r="N382" s="2"/>
      <c r="O382" s="7"/>
      <c r="P382" s="2"/>
      <c r="Q382" s="2"/>
      <c r="R382" s="2"/>
      <c r="S382" s="2"/>
      <c r="T382" s="2"/>
      <c r="U382" s="7"/>
      <c r="V382" s="37"/>
      <c r="W382" s="37"/>
      <c r="X382" s="37"/>
      <c r="Y382" s="37"/>
      <c r="Z382" s="37"/>
      <c r="AA382" s="37"/>
      <c r="AB382" s="37"/>
      <c r="AC382" s="37"/>
      <c r="AD382" s="37"/>
      <c r="AE382" s="6"/>
    </row>
    <row r="383" spans="4:31" s="1" customFormat="1" x14ac:dyDescent="0.25">
      <c r="D383" s="5"/>
      <c r="E383" s="2"/>
      <c r="F383" s="2"/>
      <c r="G383" s="2"/>
      <c r="H383" s="2"/>
      <c r="I383" s="2"/>
      <c r="J383" s="7"/>
      <c r="M383" s="2"/>
      <c r="N383" s="2"/>
      <c r="O383" s="7"/>
      <c r="P383" s="2"/>
      <c r="Q383" s="2"/>
      <c r="R383" s="2"/>
      <c r="S383" s="2"/>
      <c r="T383" s="2"/>
      <c r="U383" s="7"/>
      <c r="V383" s="37"/>
      <c r="W383" s="37"/>
      <c r="X383" s="37"/>
      <c r="Y383" s="37"/>
      <c r="Z383" s="37"/>
      <c r="AA383" s="37"/>
      <c r="AB383" s="37"/>
      <c r="AC383" s="37"/>
      <c r="AD383" s="37"/>
      <c r="AE383" s="6"/>
    </row>
    <row r="384" spans="4:31" s="1" customFormat="1" x14ac:dyDescent="0.25">
      <c r="D384" s="5"/>
      <c r="E384" s="2"/>
      <c r="F384" s="2"/>
      <c r="G384" s="2"/>
      <c r="H384" s="2"/>
      <c r="I384" s="2"/>
      <c r="J384" s="7"/>
      <c r="M384" s="2"/>
      <c r="N384" s="2"/>
      <c r="O384" s="7"/>
      <c r="P384" s="2"/>
      <c r="Q384" s="2"/>
      <c r="R384" s="2"/>
      <c r="S384" s="2"/>
      <c r="T384" s="2"/>
      <c r="U384" s="7"/>
      <c r="V384" s="37"/>
      <c r="W384" s="37"/>
      <c r="X384" s="37"/>
      <c r="Y384" s="37"/>
      <c r="Z384" s="37"/>
      <c r="AA384" s="37"/>
      <c r="AB384" s="37"/>
      <c r="AC384" s="37"/>
      <c r="AD384" s="37"/>
      <c r="AE384" s="6"/>
    </row>
    <row r="385" spans="4:31" s="1" customFormat="1" x14ac:dyDescent="0.25">
      <c r="D385" s="5"/>
      <c r="E385" s="2"/>
      <c r="F385" s="2"/>
      <c r="G385" s="2"/>
      <c r="H385" s="2"/>
      <c r="I385" s="2"/>
      <c r="J385" s="7"/>
      <c r="M385" s="2"/>
      <c r="N385" s="2"/>
      <c r="O385" s="7"/>
      <c r="P385" s="2"/>
      <c r="Q385" s="2"/>
      <c r="R385" s="2"/>
      <c r="S385" s="2"/>
      <c r="T385" s="2"/>
      <c r="U385" s="7"/>
      <c r="V385" s="37"/>
      <c r="W385" s="37"/>
      <c r="X385" s="37"/>
      <c r="Y385" s="37"/>
      <c r="Z385" s="37"/>
      <c r="AA385" s="37"/>
      <c r="AB385" s="37"/>
      <c r="AC385" s="37"/>
      <c r="AD385" s="37"/>
      <c r="AE385" s="6"/>
    </row>
    <row r="386" spans="4:31" s="1" customFormat="1" x14ac:dyDescent="0.25">
      <c r="D386" s="5"/>
      <c r="E386" s="2"/>
      <c r="F386" s="2"/>
      <c r="G386" s="2"/>
      <c r="H386" s="2"/>
      <c r="I386" s="2"/>
      <c r="J386" s="7"/>
      <c r="M386" s="2"/>
      <c r="N386" s="2"/>
      <c r="O386" s="7"/>
      <c r="P386" s="2"/>
      <c r="Q386" s="2"/>
      <c r="R386" s="2"/>
      <c r="S386" s="2"/>
      <c r="T386" s="2"/>
      <c r="U386" s="7"/>
      <c r="V386" s="37"/>
      <c r="W386" s="37"/>
      <c r="X386" s="37"/>
      <c r="Y386" s="37"/>
      <c r="Z386" s="37"/>
      <c r="AA386" s="37"/>
      <c r="AB386" s="37"/>
      <c r="AC386" s="37"/>
      <c r="AD386" s="37"/>
      <c r="AE386" s="6"/>
    </row>
    <row r="387" spans="4:31" s="1" customFormat="1" x14ac:dyDescent="0.25">
      <c r="D387" s="5"/>
      <c r="E387" s="2"/>
      <c r="F387" s="2"/>
      <c r="G387" s="2"/>
      <c r="H387" s="2"/>
      <c r="I387" s="2"/>
      <c r="J387" s="7"/>
      <c r="M387" s="2"/>
      <c r="N387" s="2"/>
      <c r="O387" s="7"/>
      <c r="P387" s="2"/>
      <c r="Q387" s="2"/>
      <c r="R387" s="2"/>
      <c r="S387" s="2"/>
      <c r="T387" s="2"/>
      <c r="U387" s="7"/>
      <c r="V387" s="37"/>
      <c r="W387" s="37"/>
      <c r="X387" s="37"/>
      <c r="Y387" s="37"/>
      <c r="Z387" s="37"/>
      <c r="AA387" s="37"/>
      <c r="AB387" s="37"/>
      <c r="AC387" s="37"/>
      <c r="AD387" s="37"/>
      <c r="AE387" s="6"/>
    </row>
    <row r="388" spans="4:31" s="1" customFormat="1" x14ac:dyDescent="0.25">
      <c r="D388" s="5"/>
      <c r="E388" s="2"/>
      <c r="F388" s="2"/>
      <c r="G388" s="2"/>
      <c r="H388" s="2"/>
      <c r="I388" s="2"/>
      <c r="J388" s="7"/>
      <c r="M388" s="2"/>
      <c r="N388" s="2"/>
      <c r="O388" s="7"/>
      <c r="P388" s="2"/>
      <c r="Q388" s="2"/>
      <c r="R388" s="2"/>
      <c r="S388" s="2"/>
      <c r="T388" s="2"/>
      <c r="U388" s="7"/>
      <c r="V388" s="37"/>
      <c r="W388" s="37"/>
      <c r="X388" s="37"/>
      <c r="Y388" s="37"/>
      <c r="Z388" s="37"/>
      <c r="AA388" s="37"/>
      <c r="AB388" s="37"/>
      <c r="AC388" s="37"/>
      <c r="AD388" s="37"/>
      <c r="AE388" s="6"/>
    </row>
    <row r="389" spans="4:31" s="1" customFormat="1" x14ac:dyDescent="0.25">
      <c r="D389" s="5"/>
      <c r="E389" s="2"/>
      <c r="F389" s="2"/>
      <c r="G389" s="2"/>
      <c r="H389" s="2"/>
      <c r="I389" s="2"/>
      <c r="J389" s="7"/>
      <c r="M389" s="2"/>
      <c r="N389" s="2"/>
      <c r="O389" s="7"/>
      <c r="P389" s="2"/>
      <c r="Q389" s="2"/>
      <c r="R389" s="2"/>
      <c r="S389" s="2"/>
      <c r="T389" s="2"/>
      <c r="U389" s="7"/>
      <c r="V389" s="37"/>
      <c r="W389" s="37"/>
      <c r="X389" s="37"/>
      <c r="Y389" s="37"/>
      <c r="Z389" s="37"/>
      <c r="AA389" s="37"/>
      <c r="AB389" s="37"/>
      <c r="AC389" s="37"/>
      <c r="AD389" s="37"/>
      <c r="AE389" s="6"/>
    </row>
    <row r="390" spans="4:31" s="1" customFormat="1" x14ac:dyDescent="0.25">
      <c r="D390" s="5"/>
      <c r="E390" s="2"/>
      <c r="F390" s="2"/>
      <c r="G390" s="2"/>
      <c r="H390" s="2"/>
      <c r="I390" s="2"/>
      <c r="J390" s="7"/>
      <c r="M390" s="2"/>
      <c r="N390" s="2"/>
      <c r="O390" s="7"/>
      <c r="P390" s="2"/>
      <c r="Q390" s="2"/>
      <c r="R390" s="2"/>
      <c r="S390" s="2"/>
      <c r="T390" s="2"/>
      <c r="U390" s="7"/>
      <c r="V390" s="37"/>
      <c r="W390" s="37"/>
      <c r="X390" s="37"/>
      <c r="Y390" s="37"/>
      <c r="Z390" s="37"/>
      <c r="AA390" s="37"/>
      <c r="AB390" s="37"/>
      <c r="AC390" s="37"/>
      <c r="AD390" s="37"/>
      <c r="AE390" s="6"/>
    </row>
    <row r="391" spans="4:31" s="1" customFormat="1" x14ac:dyDescent="0.25">
      <c r="D391" s="5"/>
      <c r="E391" s="2"/>
      <c r="F391" s="2"/>
      <c r="G391" s="2"/>
      <c r="H391" s="2"/>
      <c r="I391" s="2"/>
      <c r="J391" s="7"/>
      <c r="M391" s="2"/>
      <c r="N391" s="2"/>
      <c r="O391" s="7"/>
      <c r="P391" s="2"/>
      <c r="Q391" s="2"/>
      <c r="R391" s="2"/>
      <c r="S391" s="2"/>
      <c r="T391" s="2"/>
      <c r="U391" s="7"/>
      <c r="V391" s="37"/>
      <c r="W391" s="37"/>
      <c r="X391" s="37"/>
      <c r="Y391" s="37"/>
      <c r="Z391" s="37"/>
      <c r="AA391" s="37"/>
      <c r="AB391" s="37"/>
      <c r="AC391" s="37"/>
      <c r="AD391" s="37"/>
      <c r="AE391" s="6"/>
    </row>
    <row r="392" spans="4:31" s="1" customFormat="1" x14ac:dyDescent="0.25">
      <c r="D392" s="5"/>
      <c r="E392" s="2"/>
      <c r="F392" s="2"/>
      <c r="G392" s="2"/>
      <c r="H392" s="2"/>
      <c r="I392" s="2"/>
      <c r="J392" s="7"/>
      <c r="M392" s="2"/>
      <c r="N392" s="2"/>
      <c r="O392" s="7"/>
      <c r="P392" s="2"/>
      <c r="Q392" s="2"/>
      <c r="R392" s="2"/>
      <c r="S392" s="2"/>
      <c r="T392" s="2"/>
      <c r="U392" s="7"/>
      <c r="V392" s="37"/>
      <c r="W392" s="37"/>
      <c r="X392" s="37"/>
      <c r="Y392" s="37"/>
      <c r="Z392" s="37"/>
      <c r="AA392" s="37"/>
      <c r="AB392" s="37"/>
      <c r="AC392" s="37"/>
      <c r="AD392" s="37"/>
      <c r="AE392" s="6"/>
    </row>
    <row r="393" spans="4:31" s="1" customFormat="1" x14ac:dyDescent="0.25">
      <c r="D393" s="5"/>
      <c r="E393" s="2"/>
      <c r="F393" s="2"/>
      <c r="G393" s="2"/>
      <c r="H393" s="2"/>
      <c r="I393" s="2"/>
      <c r="J393" s="7"/>
      <c r="M393" s="2"/>
      <c r="N393" s="2"/>
      <c r="O393" s="7"/>
      <c r="P393" s="2"/>
      <c r="Q393" s="2"/>
      <c r="R393" s="2"/>
      <c r="S393" s="2"/>
      <c r="T393" s="2"/>
      <c r="U393" s="7"/>
      <c r="V393" s="37"/>
      <c r="W393" s="37"/>
      <c r="X393" s="37"/>
      <c r="Y393" s="37"/>
      <c r="Z393" s="37"/>
      <c r="AA393" s="37"/>
      <c r="AB393" s="37"/>
      <c r="AC393" s="37"/>
      <c r="AD393" s="37"/>
      <c r="AE393" s="6"/>
    </row>
    <row r="394" spans="4:31" s="1" customFormat="1" x14ac:dyDescent="0.25">
      <c r="D394" s="5"/>
      <c r="E394" s="2"/>
      <c r="F394" s="2"/>
      <c r="G394" s="2"/>
      <c r="H394" s="2"/>
      <c r="I394" s="2"/>
      <c r="J394" s="7"/>
      <c r="M394" s="2"/>
      <c r="N394" s="2"/>
      <c r="O394" s="7"/>
      <c r="P394" s="2"/>
      <c r="Q394" s="2"/>
      <c r="R394" s="2"/>
      <c r="S394" s="2"/>
      <c r="T394" s="2"/>
      <c r="U394" s="7"/>
      <c r="V394" s="37"/>
      <c r="W394" s="37"/>
      <c r="X394" s="37"/>
      <c r="Y394" s="37"/>
      <c r="Z394" s="37"/>
      <c r="AA394" s="37"/>
      <c r="AB394" s="37"/>
      <c r="AC394" s="37"/>
      <c r="AD394" s="37"/>
      <c r="AE394" s="6"/>
    </row>
    <row r="395" spans="4:31" s="1" customFormat="1" x14ac:dyDescent="0.25">
      <c r="D395" s="5"/>
      <c r="E395" s="2"/>
      <c r="F395" s="2"/>
      <c r="G395" s="2"/>
      <c r="H395" s="2"/>
      <c r="I395" s="2"/>
      <c r="J395" s="7"/>
      <c r="M395" s="2"/>
      <c r="N395" s="2"/>
      <c r="O395" s="7"/>
      <c r="P395" s="2"/>
      <c r="Q395" s="2"/>
      <c r="R395" s="2"/>
      <c r="S395" s="2"/>
      <c r="T395" s="2"/>
      <c r="U395" s="7"/>
      <c r="V395" s="37"/>
      <c r="W395" s="37"/>
      <c r="X395" s="37"/>
      <c r="Y395" s="37"/>
      <c r="Z395" s="37"/>
      <c r="AA395" s="37"/>
      <c r="AB395" s="37"/>
      <c r="AC395" s="37"/>
      <c r="AD395" s="37"/>
      <c r="AE395" s="6"/>
    </row>
    <row r="396" spans="4:31" s="1" customFormat="1" x14ac:dyDescent="0.25">
      <c r="D396" s="5"/>
      <c r="E396" s="2"/>
      <c r="F396" s="2"/>
      <c r="G396" s="2"/>
      <c r="H396" s="2"/>
      <c r="I396" s="2"/>
      <c r="J396" s="7"/>
      <c r="M396" s="2"/>
      <c r="N396" s="2"/>
      <c r="O396" s="7"/>
      <c r="P396" s="2"/>
      <c r="Q396" s="2"/>
      <c r="R396" s="2"/>
      <c r="S396" s="2"/>
      <c r="T396" s="2"/>
      <c r="U396" s="7"/>
      <c r="V396" s="37"/>
      <c r="W396" s="37"/>
      <c r="X396" s="37"/>
      <c r="Y396" s="37"/>
      <c r="Z396" s="37"/>
      <c r="AA396" s="37"/>
      <c r="AB396" s="37"/>
      <c r="AC396" s="37"/>
      <c r="AD396" s="37"/>
      <c r="AE396" s="6"/>
    </row>
    <row r="397" spans="4:31" s="1" customFormat="1" x14ac:dyDescent="0.25">
      <c r="D397" s="5"/>
      <c r="E397" s="2"/>
      <c r="F397" s="2"/>
      <c r="G397" s="2"/>
      <c r="H397" s="2"/>
      <c r="I397" s="2"/>
      <c r="J397" s="7"/>
      <c r="M397" s="2"/>
      <c r="N397" s="2"/>
      <c r="O397" s="7"/>
      <c r="P397" s="2"/>
      <c r="Q397" s="2"/>
      <c r="R397" s="2"/>
      <c r="S397" s="2"/>
      <c r="T397" s="2"/>
      <c r="U397" s="7"/>
      <c r="V397" s="37"/>
      <c r="W397" s="37"/>
      <c r="X397" s="37"/>
      <c r="Y397" s="37"/>
      <c r="Z397" s="37"/>
      <c r="AA397" s="37"/>
      <c r="AB397" s="37"/>
      <c r="AC397" s="37"/>
      <c r="AD397" s="37"/>
      <c r="AE397" s="6"/>
    </row>
    <row r="398" spans="4:31" s="1" customFormat="1" x14ac:dyDescent="0.25">
      <c r="D398" s="5"/>
      <c r="E398" s="2"/>
      <c r="F398" s="2"/>
      <c r="G398" s="2"/>
      <c r="H398" s="2"/>
      <c r="I398" s="2"/>
      <c r="J398" s="7"/>
      <c r="M398" s="2"/>
      <c r="N398" s="2"/>
      <c r="O398" s="7"/>
      <c r="P398" s="2"/>
      <c r="Q398" s="2"/>
      <c r="R398" s="2"/>
      <c r="S398" s="2"/>
      <c r="T398" s="2"/>
      <c r="U398" s="7"/>
      <c r="V398" s="37"/>
      <c r="W398" s="37"/>
      <c r="X398" s="37"/>
      <c r="Y398" s="37"/>
      <c r="Z398" s="37"/>
      <c r="AA398" s="37"/>
      <c r="AB398" s="37"/>
      <c r="AC398" s="37"/>
      <c r="AD398" s="37"/>
      <c r="AE398" s="6"/>
    </row>
    <row r="399" spans="4:31" s="1" customFormat="1" x14ac:dyDescent="0.25">
      <c r="D399" s="5"/>
      <c r="E399" s="2"/>
      <c r="F399" s="2"/>
      <c r="G399" s="2"/>
      <c r="H399" s="2"/>
      <c r="I399" s="2"/>
      <c r="J399" s="7"/>
      <c r="M399" s="2"/>
      <c r="N399" s="2"/>
      <c r="O399" s="7"/>
      <c r="P399" s="2"/>
      <c r="Q399" s="2"/>
      <c r="R399" s="2"/>
      <c r="S399" s="2"/>
      <c r="T399" s="2"/>
      <c r="U399" s="7"/>
      <c r="V399" s="37"/>
      <c r="W399" s="37"/>
      <c r="X399" s="37"/>
      <c r="Y399" s="37"/>
      <c r="Z399" s="37"/>
      <c r="AA399" s="37"/>
      <c r="AB399" s="37"/>
      <c r="AC399" s="37"/>
      <c r="AD399" s="37"/>
      <c r="AE399" s="6"/>
    </row>
    <row r="400" spans="4:31" s="1" customFormat="1" x14ac:dyDescent="0.25">
      <c r="D400" s="5"/>
      <c r="E400" s="2"/>
      <c r="F400" s="2"/>
      <c r="G400" s="2"/>
      <c r="H400" s="2"/>
      <c r="I400" s="2"/>
      <c r="J400" s="7"/>
      <c r="M400" s="2"/>
      <c r="N400" s="2"/>
      <c r="O400" s="7"/>
      <c r="P400" s="2"/>
      <c r="Q400" s="2"/>
      <c r="R400" s="2"/>
      <c r="S400" s="2"/>
      <c r="T400" s="2"/>
      <c r="U400" s="7"/>
      <c r="V400" s="37"/>
      <c r="W400" s="37"/>
      <c r="X400" s="37"/>
      <c r="Y400" s="37"/>
      <c r="Z400" s="37"/>
      <c r="AA400" s="37"/>
      <c r="AB400" s="37"/>
      <c r="AC400" s="37"/>
      <c r="AD400" s="37"/>
      <c r="AE400" s="6"/>
    </row>
    <row r="401" spans="4:31" s="1" customFormat="1" x14ac:dyDescent="0.25">
      <c r="D401" s="5"/>
      <c r="E401" s="2"/>
      <c r="F401" s="2"/>
      <c r="G401" s="2"/>
      <c r="H401" s="2"/>
      <c r="I401" s="2"/>
      <c r="J401" s="7"/>
      <c r="M401" s="2"/>
      <c r="N401" s="2"/>
      <c r="O401" s="7"/>
      <c r="P401" s="2"/>
      <c r="Q401" s="2"/>
      <c r="R401" s="2"/>
      <c r="S401" s="2"/>
      <c r="T401" s="2"/>
      <c r="U401" s="7"/>
      <c r="V401" s="37"/>
      <c r="W401" s="37"/>
      <c r="X401" s="37"/>
      <c r="Y401" s="37"/>
      <c r="Z401" s="37"/>
      <c r="AA401" s="37"/>
      <c r="AB401" s="37"/>
      <c r="AC401" s="37"/>
      <c r="AD401" s="37"/>
      <c r="AE401" s="6"/>
    </row>
    <row r="402" spans="4:31" s="1" customFormat="1" x14ac:dyDescent="0.25">
      <c r="D402" s="5"/>
      <c r="E402" s="2"/>
      <c r="F402" s="2"/>
      <c r="G402" s="2"/>
      <c r="H402" s="2"/>
      <c r="I402" s="2"/>
      <c r="J402" s="7"/>
      <c r="M402" s="2"/>
      <c r="N402" s="2"/>
      <c r="O402" s="7"/>
      <c r="P402" s="2"/>
      <c r="Q402" s="2"/>
      <c r="R402" s="2"/>
      <c r="S402" s="2"/>
      <c r="T402" s="2"/>
      <c r="U402" s="7"/>
      <c r="V402" s="37"/>
      <c r="W402" s="37"/>
      <c r="X402" s="37"/>
      <c r="Y402" s="37"/>
      <c r="Z402" s="37"/>
      <c r="AA402" s="37"/>
      <c r="AB402" s="37"/>
      <c r="AC402" s="37"/>
      <c r="AD402" s="37"/>
      <c r="AE402" s="6"/>
    </row>
    <row r="403" spans="4:31" s="1" customFormat="1" x14ac:dyDescent="0.25">
      <c r="D403" s="5"/>
      <c r="E403" s="2"/>
      <c r="F403" s="2"/>
      <c r="G403" s="2"/>
      <c r="H403" s="2"/>
      <c r="I403" s="2"/>
      <c r="J403" s="7"/>
      <c r="M403" s="2"/>
      <c r="N403" s="2"/>
      <c r="O403" s="7"/>
      <c r="P403" s="2"/>
      <c r="Q403" s="2"/>
      <c r="R403" s="2"/>
      <c r="S403" s="2"/>
      <c r="T403" s="2"/>
      <c r="U403" s="7"/>
      <c r="V403" s="37"/>
      <c r="W403" s="37"/>
      <c r="X403" s="37"/>
      <c r="Y403" s="37"/>
      <c r="Z403" s="37"/>
      <c r="AA403" s="37"/>
      <c r="AB403" s="37"/>
      <c r="AC403" s="37"/>
      <c r="AD403" s="37"/>
      <c r="AE403" s="6"/>
    </row>
    <row r="404" spans="4:31" s="1" customFormat="1" x14ac:dyDescent="0.25">
      <c r="D404" s="5"/>
      <c r="E404" s="2"/>
      <c r="F404" s="2"/>
      <c r="G404" s="2"/>
      <c r="H404" s="2"/>
      <c r="I404" s="2"/>
      <c r="J404" s="7"/>
      <c r="M404" s="2"/>
      <c r="N404" s="2"/>
      <c r="O404" s="7"/>
      <c r="P404" s="2"/>
      <c r="Q404" s="2"/>
      <c r="R404" s="2"/>
      <c r="S404" s="2"/>
      <c r="T404" s="2"/>
      <c r="U404" s="7"/>
      <c r="V404" s="37"/>
      <c r="W404" s="37"/>
      <c r="X404" s="37"/>
      <c r="Y404" s="37"/>
      <c r="Z404" s="37"/>
      <c r="AA404" s="37"/>
      <c r="AB404" s="37"/>
      <c r="AC404" s="37"/>
      <c r="AD404" s="37"/>
      <c r="AE404" s="6"/>
    </row>
    <row r="405" spans="4:31" s="1" customFormat="1" x14ac:dyDescent="0.25">
      <c r="D405" s="5"/>
      <c r="E405" s="2"/>
      <c r="F405" s="2"/>
      <c r="G405" s="2"/>
      <c r="H405" s="2"/>
      <c r="I405" s="2"/>
      <c r="J405" s="7"/>
      <c r="M405" s="2"/>
      <c r="N405" s="2"/>
      <c r="O405" s="7"/>
      <c r="P405" s="2"/>
      <c r="Q405" s="2"/>
      <c r="R405" s="2"/>
      <c r="S405" s="2"/>
      <c r="T405" s="2"/>
      <c r="U405" s="7"/>
      <c r="V405" s="37"/>
      <c r="W405" s="37"/>
      <c r="X405" s="37"/>
      <c r="Y405" s="37"/>
      <c r="Z405" s="37"/>
      <c r="AA405" s="37"/>
      <c r="AB405" s="37"/>
      <c r="AC405" s="37"/>
      <c r="AD405" s="37"/>
      <c r="AE405" s="6"/>
    </row>
    <row r="406" spans="4:31" s="1" customFormat="1" x14ac:dyDescent="0.25">
      <c r="D406" s="5"/>
      <c r="E406" s="2"/>
      <c r="F406" s="2"/>
      <c r="G406" s="2"/>
      <c r="H406" s="2"/>
      <c r="I406" s="2"/>
      <c r="J406" s="7"/>
      <c r="M406" s="2"/>
      <c r="N406" s="2"/>
      <c r="O406" s="7"/>
      <c r="P406" s="2"/>
      <c r="Q406" s="2"/>
      <c r="R406" s="2"/>
      <c r="S406" s="2"/>
      <c r="T406" s="2"/>
      <c r="U406" s="7"/>
      <c r="V406" s="37"/>
      <c r="W406" s="37"/>
      <c r="X406" s="37"/>
      <c r="Y406" s="37"/>
      <c r="Z406" s="37"/>
      <c r="AA406" s="37"/>
      <c r="AB406" s="37"/>
      <c r="AC406" s="37"/>
      <c r="AD406" s="37"/>
      <c r="AE406" s="6"/>
    </row>
    <row r="407" spans="4:31" s="1" customFormat="1" x14ac:dyDescent="0.25">
      <c r="D407" s="5"/>
      <c r="E407" s="2"/>
      <c r="F407" s="2"/>
      <c r="G407" s="2"/>
      <c r="H407" s="2"/>
      <c r="I407" s="2"/>
      <c r="J407" s="7"/>
      <c r="M407" s="2"/>
      <c r="N407" s="2"/>
      <c r="O407" s="7"/>
      <c r="P407" s="2"/>
      <c r="Q407" s="2"/>
      <c r="R407" s="2"/>
      <c r="S407" s="2"/>
      <c r="T407" s="2"/>
      <c r="U407" s="7"/>
      <c r="V407" s="37"/>
      <c r="W407" s="37"/>
      <c r="X407" s="37"/>
      <c r="Y407" s="37"/>
      <c r="Z407" s="37"/>
      <c r="AA407" s="37"/>
      <c r="AB407" s="37"/>
      <c r="AC407" s="37"/>
      <c r="AD407" s="37"/>
      <c r="AE407" s="6"/>
    </row>
    <row r="408" spans="4:31" s="1" customFormat="1" x14ac:dyDescent="0.25">
      <c r="D408" s="5"/>
      <c r="E408" s="2"/>
      <c r="F408" s="2"/>
      <c r="G408" s="2"/>
      <c r="H408" s="2"/>
      <c r="I408" s="2"/>
      <c r="J408" s="7"/>
      <c r="M408" s="2"/>
      <c r="N408" s="2"/>
      <c r="O408" s="7"/>
      <c r="P408" s="2"/>
      <c r="Q408" s="2"/>
      <c r="R408" s="2"/>
      <c r="S408" s="2"/>
      <c r="T408" s="2"/>
      <c r="U408" s="7"/>
      <c r="V408" s="37"/>
      <c r="W408" s="37"/>
      <c r="X408" s="37"/>
      <c r="Y408" s="37"/>
      <c r="Z408" s="37"/>
      <c r="AA408" s="37"/>
      <c r="AB408" s="37"/>
      <c r="AC408" s="37"/>
      <c r="AD408" s="37"/>
      <c r="AE408" s="6"/>
    </row>
    <row r="409" spans="4:31" s="1" customFormat="1" x14ac:dyDescent="0.25">
      <c r="D409" s="5"/>
      <c r="E409" s="2"/>
      <c r="F409" s="2"/>
      <c r="G409" s="2"/>
      <c r="H409" s="2"/>
      <c r="I409" s="2"/>
      <c r="J409" s="7"/>
      <c r="M409" s="2"/>
      <c r="N409" s="2"/>
      <c r="O409" s="7"/>
      <c r="P409" s="2"/>
      <c r="Q409" s="2"/>
      <c r="R409" s="2"/>
      <c r="S409" s="2"/>
      <c r="T409" s="2"/>
      <c r="U409" s="7"/>
      <c r="V409" s="37"/>
      <c r="W409" s="37"/>
      <c r="X409" s="37"/>
      <c r="Y409" s="37"/>
      <c r="Z409" s="37"/>
      <c r="AA409" s="37"/>
      <c r="AB409" s="37"/>
      <c r="AC409" s="37"/>
      <c r="AD409" s="37"/>
      <c r="AE409" s="6"/>
    </row>
    <row r="410" spans="4:31" s="1" customFormat="1" x14ac:dyDescent="0.25">
      <c r="D410" s="5"/>
      <c r="E410" s="2"/>
      <c r="F410" s="2"/>
      <c r="G410" s="2"/>
      <c r="H410" s="2"/>
      <c r="I410" s="2"/>
      <c r="J410" s="7"/>
      <c r="M410" s="2"/>
      <c r="N410" s="2"/>
      <c r="O410" s="7"/>
      <c r="P410" s="2"/>
      <c r="Q410" s="2"/>
      <c r="R410" s="2"/>
      <c r="S410" s="2"/>
      <c r="T410" s="2"/>
      <c r="U410" s="7"/>
      <c r="V410" s="37"/>
      <c r="W410" s="37"/>
      <c r="X410" s="37"/>
      <c r="Y410" s="37"/>
      <c r="Z410" s="37"/>
      <c r="AA410" s="37"/>
      <c r="AB410" s="37"/>
      <c r="AC410" s="37"/>
      <c r="AD410" s="37"/>
      <c r="AE410" s="6"/>
    </row>
    <row r="411" spans="4:31" s="1" customFormat="1" x14ac:dyDescent="0.25">
      <c r="D411" s="5"/>
      <c r="E411" s="2"/>
      <c r="F411" s="2"/>
      <c r="G411" s="2"/>
      <c r="H411" s="2"/>
      <c r="I411" s="2"/>
      <c r="J411" s="7"/>
      <c r="M411" s="2"/>
      <c r="N411" s="2"/>
      <c r="O411" s="7"/>
      <c r="P411" s="2"/>
      <c r="Q411" s="2"/>
      <c r="R411" s="2"/>
      <c r="S411" s="2"/>
      <c r="T411" s="2"/>
      <c r="U411" s="7"/>
      <c r="V411" s="37"/>
      <c r="W411" s="37"/>
      <c r="X411" s="37"/>
      <c r="Y411" s="37"/>
      <c r="Z411" s="37"/>
      <c r="AA411" s="37"/>
      <c r="AB411" s="37"/>
      <c r="AC411" s="37"/>
      <c r="AD411" s="37"/>
      <c r="AE411" s="6"/>
    </row>
    <row r="412" spans="4:31" s="1" customFormat="1" x14ac:dyDescent="0.25">
      <c r="D412" s="5"/>
      <c r="E412" s="2"/>
      <c r="F412" s="2"/>
      <c r="G412" s="2"/>
      <c r="H412" s="2"/>
      <c r="I412" s="2"/>
      <c r="J412" s="7"/>
      <c r="M412" s="2"/>
      <c r="N412" s="2"/>
      <c r="O412" s="7"/>
      <c r="P412" s="2"/>
      <c r="Q412" s="2"/>
      <c r="R412" s="2"/>
      <c r="S412" s="2"/>
      <c r="T412" s="2"/>
      <c r="U412" s="7"/>
      <c r="V412" s="37"/>
      <c r="W412" s="37"/>
      <c r="X412" s="37"/>
      <c r="Y412" s="37"/>
      <c r="Z412" s="37"/>
      <c r="AA412" s="37"/>
      <c r="AB412" s="37"/>
      <c r="AC412" s="37"/>
      <c r="AD412" s="37"/>
      <c r="AE412" s="6"/>
    </row>
    <row r="413" spans="4:31" s="1" customFormat="1" x14ac:dyDescent="0.25">
      <c r="D413" s="5"/>
      <c r="E413" s="2"/>
      <c r="F413" s="2"/>
      <c r="G413" s="2"/>
      <c r="H413" s="2"/>
      <c r="I413" s="2"/>
      <c r="J413" s="7"/>
      <c r="M413" s="2"/>
      <c r="N413" s="2"/>
      <c r="O413" s="7"/>
      <c r="P413" s="2"/>
      <c r="Q413" s="2"/>
      <c r="R413" s="2"/>
      <c r="S413" s="2"/>
      <c r="T413" s="2"/>
      <c r="U413" s="7"/>
      <c r="V413" s="37"/>
      <c r="W413" s="37"/>
      <c r="X413" s="37"/>
      <c r="Y413" s="37"/>
      <c r="Z413" s="37"/>
      <c r="AA413" s="37"/>
      <c r="AB413" s="37"/>
      <c r="AC413" s="37"/>
      <c r="AD413" s="37"/>
      <c r="AE413" s="6"/>
    </row>
    <row r="414" spans="4:31" s="1" customFormat="1" x14ac:dyDescent="0.25">
      <c r="D414" s="5"/>
      <c r="E414" s="2"/>
      <c r="F414" s="2"/>
      <c r="G414" s="2"/>
      <c r="H414" s="2"/>
      <c r="I414" s="2"/>
      <c r="J414" s="7"/>
      <c r="M414" s="2"/>
      <c r="N414" s="2"/>
      <c r="O414" s="7"/>
      <c r="P414" s="2"/>
      <c r="Q414" s="2"/>
      <c r="R414" s="2"/>
      <c r="S414" s="2"/>
      <c r="T414" s="2"/>
      <c r="U414" s="7"/>
      <c r="V414" s="37"/>
      <c r="W414" s="37"/>
      <c r="X414" s="37"/>
      <c r="Y414" s="37"/>
      <c r="Z414" s="37"/>
      <c r="AA414" s="37"/>
      <c r="AB414" s="37"/>
      <c r="AC414" s="37"/>
      <c r="AD414" s="37"/>
      <c r="AE414" s="6"/>
    </row>
    <row r="415" spans="4:31" s="1" customFormat="1" x14ac:dyDescent="0.25">
      <c r="D415" s="5"/>
      <c r="E415" s="2"/>
      <c r="F415" s="2"/>
      <c r="G415" s="2"/>
      <c r="H415" s="2"/>
      <c r="I415" s="2"/>
      <c r="J415" s="7"/>
      <c r="M415" s="2"/>
      <c r="N415" s="2"/>
      <c r="O415" s="7"/>
      <c r="P415" s="2"/>
      <c r="Q415" s="2"/>
      <c r="R415" s="2"/>
      <c r="S415" s="2"/>
      <c r="T415" s="2"/>
      <c r="U415" s="7"/>
      <c r="V415" s="37"/>
      <c r="W415" s="37"/>
      <c r="X415" s="37"/>
      <c r="Y415" s="37"/>
      <c r="Z415" s="37"/>
      <c r="AA415" s="37"/>
      <c r="AB415" s="37"/>
      <c r="AC415" s="37"/>
      <c r="AD415" s="37"/>
      <c r="AE415" s="6"/>
    </row>
    <row r="416" spans="4:31" s="1" customFormat="1" x14ac:dyDescent="0.25">
      <c r="D416" s="5"/>
      <c r="E416" s="2"/>
      <c r="F416" s="2"/>
      <c r="G416" s="2"/>
      <c r="H416" s="2"/>
      <c r="I416" s="2"/>
      <c r="J416" s="7"/>
      <c r="M416" s="2"/>
      <c r="N416" s="2"/>
      <c r="O416" s="7"/>
      <c r="P416" s="2"/>
      <c r="Q416" s="2"/>
      <c r="R416" s="2"/>
      <c r="S416" s="2"/>
      <c r="T416" s="2"/>
      <c r="U416" s="7"/>
      <c r="V416" s="37"/>
      <c r="W416" s="37"/>
      <c r="X416" s="37"/>
      <c r="Y416" s="37"/>
      <c r="Z416" s="37"/>
      <c r="AA416" s="37"/>
      <c r="AB416" s="37"/>
      <c r="AC416" s="37"/>
      <c r="AD416" s="37"/>
      <c r="AE416" s="6"/>
    </row>
    <row r="417" spans="4:31" s="1" customFormat="1" x14ac:dyDescent="0.25">
      <c r="D417" s="5"/>
      <c r="E417" s="2"/>
      <c r="F417" s="2"/>
      <c r="G417" s="2"/>
      <c r="H417" s="2"/>
      <c r="I417" s="2"/>
      <c r="J417" s="7"/>
      <c r="M417" s="2"/>
      <c r="N417" s="2"/>
      <c r="O417" s="7"/>
      <c r="P417" s="2"/>
      <c r="Q417" s="2"/>
      <c r="R417" s="2"/>
      <c r="S417" s="2"/>
      <c r="T417" s="2"/>
      <c r="U417" s="7"/>
      <c r="V417" s="37"/>
      <c r="W417" s="37"/>
      <c r="X417" s="37"/>
      <c r="Y417" s="37"/>
      <c r="Z417" s="37"/>
      <c r="AA417" s="37"/>
      <c r="AB417" s="37"/>
      <c r="AC417" s="37"/>
      <c r="AD417" s="37"/>
      <c r="AE417" s="6"/>
    </row>
    <row r="418" spans="4:31" s="1" customFormat="1" x14ac:dyDescent="0.25">
      <c r="D418" s="5"/>
      <c r="E418" s="2"/>
      <c r="F418" s="2"/>
      <c r="G418" s="2"/>
      <c r="H418" s="2"/>
      <c r="I418" s="2"/>
      <c r="J418" s="7"/>
      <c r="M418" s="2"/>
      <c r="N418" s="2"/>
      <c r="O418" s="7"/>
      <c r="P418" s="2"/>
      <c r="Q418" s="2"/>
      <c r="R418" s="2"/>
      <c r="S418" s="2"/>
      <c r="T418" s="2"/>
      <c r="U418" s="7"/>
      <c r="V418" s="37"/>
      <c r="W418" s="37"/>
      <c r="X418" s="37"/>
      <c r="Y418" s="37"/>
      <c r="Z418" s="37"/>
      <c r="AA418" s="37"/>
      <c r="AB418" s="37"/>
      <c r="AC418" s="37"/>
      <c r="AD418" s="37"/>
      <c r="AE418" s="6"/>
    </row>
    <row r="419" spans="4:31" s="1" customFormat="1" x14ac:dyDescent="0.25">
      <c r="D419" s="5"/>
      <c r="E419" s="2"/>
      <c r="F419" s="2"/>
      <c r="G419" s="2"/>
      <c r="H419" s="2"/>
      <c r="I419" s="2"/>
      <c r="J419" s="7"/>
      <c r="M419" s="2"/>
      <c r="N419" s="2"/>
      <c r="O419" s="7"/>
      <c r="P419" s="2"/>
      <c r="Q419" s="2"/>
      <c r="R419" s="2"/>
      <c r="S419" s="2"/>
      <c r="T419" s="2"/>
      <c r="U419" s="7"/>
      <c r="V419" s="37"/>
      <c r="W419" s="37"/>
      <c r="X419" s="37"/>
      <c r="Y419" s="37"/>
      <c r="Z419" s="37"/>
      <c r="AA419" s="37"/>
      <c r="AB419" s="37"/>
      <c r="AC419" s="37"/>
      <c r="AD419" s="37"/>
      <c r="AE419" s="6"/>
    </row>
    <row r="420" spans="4:31" s="1" customFormat="1" x14ac:dyDescent="0.25">
      <c r="D420" s="5"/>
      <c r="E420" s="2"/>
      <c r="F420" s="2"/>
      <c r="G420" s="2"/>
      <c r="H420" s="2"/>
      <c r="I420" s="2"/>
      <c r="J420" s="7"/>
      <c r="M420" s="2"/>
      <c r="N420" s="2"/>
      <c r="O420" s="7"/>
      <c r="P420" s="2"/>
      <c r="Q420" s="2"/>
      <c r="R420" s="2"/>
      <c r="S420" s="2"/>
      <c r="T420" s="2"/>
      <c r="U420" s="7"/>
      <c r="V420" s="37"/>
      <c r="W420" s="37"/>
      <c r="X420" s="37"/>
      <c r="Y420" s="37"/>
      <c r="Z420" s="37"/>
      <c r="AA420" s="37"/>
      <c r="AB420" s="37"/>
      <c r="AC420" s="37"/>
      <c r="AD420" s="37"/>
      <c r="AE420" s="6"/>
    </row>
    <row r="421" spans="4:31" s="1" customFormat="1" x14ac:dyDescent="0.25">
      <c r="D421" s="5"/>
      <c r="E421" s="2"/>
      <c r="F421" s="2"/>
      <c r="G421" s="2"/>
      <c r="H421" s="2"/>
      <c r="I421" s="2"/>
      <c r="J421" s="7"/>
      <c r="M421" s="2"/>
      <c r="N421" s="2"/>
      <c r="O421" s="7"/>
      <c r="P421" s="2"/>
      <c r="Q421" s="2"/>
      <c r="R421" s="2"/>
      <c r="S421" s="2"/>
      <c r="T421" s="2"/>
      <c r="U421" s="7"/>
      <c r="V421" s="37"/>
      <c r="W421" s="37"/>
      <c r="X421" s="37"/>
      <c r="Y421" s="37"/>
      <c r="Z421" s="37"/>
      <c r="AA421" s="37"/>
      <c r="AB421" s="37"/>
      <c r="AC421" s="37"/>
      <c r="AD421" s="37"/>
      <c r="AE421" s="6"/>
    </row>
    <row r="422" spans="4:31" s="1" customFormat="1" x14ac:dyDescent="0.25">
      <c r="D422" s="5"/>
      <c r="E422" s="2"/>
      <c r="F422" s="2"/>
      <c r="G422" s="2"/>
      <c r="H422" s="2"/>
      <c r="I422" s="2"/>
      <c r="J422" s="7"/>
      <c r="M422" s="2"/>
      <c r="N422" s="2"/>
      <c r="O422" s="7"/>
      <c r="P422" s="2"/>
      <c r="Q422" s="2"/>
      <c r="R422" s="2"/>
      <c r="S422" s="2"/>
      <c r="T422" s="2"/>
      <c r="U422" s="7"/>
      <c r="V422" s="37"/>
      <c r="W422" s="37"/>
      <c r="X422" s="37"/>
      <c r="Y422" s="37"/>
      <c r="Z422" s="37"/>
      <c r="AA422" s="37"/>
      <c r="AB422" s="37"/>
      <c r="AC422" s="37"/>
      <c r="AD422" s="37"/>
      <c r="AE422" s="6"/>
    </row>
    <row r="423" spans="4:31" s="1" customFormat="1" x14ac:dyDescent="0.25">
      <c r="D423" s="5"/>
      <c r="E423" s="2"/>
      <c r="F423" s="2"/>
      <c r="G423" s="2"/>
      <c r="H423" s="2"/>
      <c r="I423" s="2"/>
      <c r="J423" s="7"/>
      <c r="M423" s="2"/>
      <c r="N423" s="2"/>
      <c r="O423" s="7"/>
      <c r="P423" s="2"/>
      <c r="Q423" s="2"/>
      <c r="R423" s="2"/>
      <c r="S423" s="2"/>
      <c r="T423" s="2"/>
      <c r="U423" s="7"/>
      <c r="V423" s="37"/>
      <c r="W423" s="37"/>
      <c r="X423" s="37"/>
      <c r="Y423" s="37"/>
      <c r="Z423" s="37"/>
      <c r="AA423" s="37"/>
      <c r="AB423" s="37"/>
      <c r="AC423" s="37"/>
      <c r="AD423" s="37"/>
      <c r="AE423" s="6"/>
    </row>
    <row r="424" spans="4:31" s="1" customFormat="1" x14ac:dyDescent="0.25">
      <c r="D424" s="5"/>
      <c r="E424" s="2"/>
      <c r="F424" s="2"/>
      <c r="G424" s="2"/>
      <c r="H424" s="2"/>
      <c r="I424" s="2"/>
      <c r="J424" s="7"/>
      <c r="M424" s="2"/>
      <c r="N424" s="2"/>
      <c r="O424" s="7"/>
      <c r="P424" s="2"/>
      <c r="Q424" s="2"/>
      <c r="R424" s="2"/>
      <c r="S424" s="2"/>
      <c r="T424" s="2"/>
      <c r="U424" s="7"/>
      <c r="V424" s="37"/>
      <c r="W424" s="37"/>
      <c r="X424" s="37"/>
      <c r="Y424" s="37"/>
      <c r="Z424" s="37"/>
      <c r="AA424" s="37"/>
      <c r="AB424" s="37"/>
      <c r="AC424" s="37"/>
      <c r="AD424" s="37"/>
      <c r="AE424" s="6"/>
    </row>
    <row r="425" spans="4:31" s="1" customFormat="1" x14ac:dyDescent="0.25">
      <c r="D425" s="5"/>
      <c r="E425" s="2"/>
      <c r="F425" s="2"/>
      <c r="G425" s="2"/>
      <c r="H425" s="2"/>
      <c r="I425" s="2"/>
      <c r="J425" s="7"/>
      <c r="M425" s="2"/>
      <c r="N425" s="2"/>
      <c r="O425" s="7"/>
      <c r="P425" s="2"/>
      <c r="Q425" s="2"/>
      <c r="R425" s="2"/>
      <c r="S425" s="2"/>
      <c r="T425" s="2"/>
      <c r="U425" s="7"/>
      <c r="V425" s="37"/>
      <c r="W425" s="37"/>
      <c r="X425" s="37"/>
      <c r="Y425" s="37"/>
      <c r="Z425" s="37"/>
      <c r="AA425" s="37"/>
      <c r="AB425" s="37"/>
      <c r="AC425" s="37"/>
      <c r="AD425" s="37"/>
      <c r="AE425" s="6"/>
    </row>
    <row r="426" spans="4:31" s="1" customFormat="1" x14ac:dyDescent="0.25">
      <c r="D426" s="5"/>
      <c r="E426" s="2"/>
      <c r="F426" s="2"/>
      <c r="G426" s="2"/>
      <c r="H426" s="2"/>
      <c r="I426" s="2"/>
      <c r="J426" s="7"/>
      <c r="M426" s="2"/>
      <c r="N426" s="2"/>
      <c r="O426" s="7"/>
      <c r="P426" s="2"/>
      <c r="Q426" s="2"/>
      <c r="R426" s="2"/>
      <c r="S426" s="2"/>
      <c r="T426" s="2"/>
      <c r="U426" s="7"/>
      <c r="V426" s="37"/>
      <c r="W426" s="37"/>
      <c r="X426" s="37"/>
      <c r="Y426" s="37"/>
      <c r="Z426" s="37"/>
      <c r="AA426" s="37"/>
      <c r="AB426" s="37"/>
      <c r="AC426" s="37"/>
      <c r="AD426" s="37"/>
      <c r="AE426" s="6"/>
    </row>
    <row r="427" spans="4:31" s="1" customFormat="1" x14ac:dyDescent="0.25">
      <c r="D427" s="5"/>
      <c r="E427" s="2"/>
      <c r="F427" s="2"/>
      <c r="G427" s="2"/>
      <c r="H427" s="2"/>
      <c r="I427" s="2"/>
      <c r="J427" s="7"/>
      <c r="M427" s="2"/>
      <c r="N427" s="2"/>
      <c r="O427" s="7"/>
      <c r="P427" s="2"/>
      <c r="Q427" s="2"/>
      <c r="R427" s="2"/>
      <c r="S427" s="2"/>
      <c r="T427" s="2"/>
      <c r="U427" s="7"/>
      <c r="V427" s="37"/>
      <c r="W427" s="37"/>
      <c r="X427" s="37"/>
      <c r="Y427" s="37"/>
      <c r="Z427" s="37"/>
      <c r="AA427" s="37"/>
      <c r="AB427" s="37"/>
      <c r="AC427" s="37"/>
      <c r="AD427" s="37"/>
      <c r="AE427" s="6"/>
    </row>
    <row r="428" spans="4:31" s="1" customFormat="1" x14ac:dyDescent="0.25">
      <c r="D428" s="5"/>
      <c r="E428" s="2"/>
      <c r="F428" s="2"/>
      <c r="G428" s="2"/>
      <c r="H428" s="2"/>
      <c r="I428" s="2"/>
      <c r="J428" s="7"/>
      <c r="M428" s="2"/>
      <c r="N428" s="2"/>
      <c r="O428" s="7"/>
      <c r="P428" s="2"/>
      <c r="Q428" s="2"/>
      <c r="R428" s="2"/>
      <c r="S428" s="2"/>
      <c r="T428" s="2"/>
      <c r="U428" s="7"/>
      <c r="V428" s="37"/>
      <c r="W428" s="37"/>
      <c r="X428" s="37"/>
      <c r="Y428" s="37"/>
      <c r="Z428" s="37"/>
      <c r="AA428" s="37"/>
      <c r="AB428" s="37"/>
      <c r="AC428" s="37"/>
      <c r="AD428" s="37"/>
      <c r="AE428" s="6"/>
    </row>
    <row r="429" spans="4:31" s="1" customFormat="1" x14ac:dyDescent="0.25">
      <c r="D429" s="5"/>
      <c r="E429" s="2"/>
      <c r="F429" s="2"/>
      <c r="G429" s="2"/>
      <c r="H429" s="2"/>
      <c r="I429" s="2"/>
      <c r="J429" s="7"/>
      <c r="M429" s="2"/>
      <c r="N429" s="2"/>
      <c r="O429" s="7"/>
      <c r="P429" s="2"/>
      <c r="Q429" s="2"/>
      <c r="R429" s="2"/>
      <c r="S429" s="2"/>
      <c r="T429" s="2"/>
      <c r="U429" s="7"/>
      <c r="V429" s="37"/>
      <c r="W429" s="37"/>
      <c r="X429" s="37"/>
      <c r="Y429" s="37"/>
      <c r="Z429" s="37"/>
      <c r="AA429" s="37"/>
      <c r="AB429" s="37"/>
      <c r="AC429" s="37"/>
      <c r="AD429" s="37"/>
      <c r="AE429" s="6"/>
    </row>
    <row r="430" spans="4:31" s="1" customFormat="1" x14ac:dyDescent="0.25">
      <c r="D430" s="5"/>
      <c r="E430" s="2"/>
      <c r="F430" s="2"/>
      <c r="G430" s="2"/>
      <c r="H430" s="2"/>
      <c r="I430" s="2"/>
      <c r="J430" s="7"/>
      <c r="M430" s="2"/>
      <c r="N430" s="2"/>
      <c r="O430" s="7"/>
      <c r="P430" s="2"/>
      <c r="Q430" s="2"/>
      <c r="R430" s="2"/>
      <c r="S430" s="2"/>
      <c r="T430" s="2"/>
      <c r="U430" s="7"/>
      <c r="V430" s="37"/>
      <c r="W430" s="37"/>
      <c r="X430" s="37"/>
      <c r="Y430" s="37"/>
      <c r="Z430" s="37"/>
      <c r="AA430" s="37"/>
      <c r="AB430" s="37"/>
      <c r="AC430" s="37"/>
      <c r="AD430" s="37"/>
      <c r="AE430" s="6"/>
    </row>
    <row r="431" spans="4:31" s="1" customFormat="1" x14ac:dyDescent="0.25">
      <c r="D431" s="5"/>
      <c r="E431" s="2"/>
      <c r="F431" s="2"/>
      <c r="G431" s="2"/>
      <c r="H431" s="2"/>
      <c r="I431" s="2"/>
      <c r="J431" s="7"/>
      <c r="M431" s="2"/>
      <c r="N431" s="2"/>
      <c r="O431" s="7"/>
      <c r="P431" s="2"/>
      <c r="Q431" s="2"/>
      <c r="R431" s="2"/>
      <c r="S431" s="2"/>
      <c r="T431" s="2"/>
      <c r="U431" s="7"/>
      <c r="V431" s="37"/>
      <c r="W431" s="37"/>
      <c r="X431" s="37"/>
      <c r="Y431" s="37"/>
      <c r="Z431" s="37"/>
      <c r="AA431" s="37"/>
      <c r="AB431" s="37"/>
      <c r="AC431" s="37"/>
      <c r="AD431" s="37"/>
      <c r="AE431" s="6"/>
    </row>
    <row r="432" spans="4:31" s="1" customFormat="1" x14ac:dyDescent="0.25">
      <c r="D432" s="5"/>
      <c r="E432" s="2"/>
      <c r="F432" s="2"/>
      <c r="G432" s="2"/>
      <c r="H432" s="2"/>
      <c r="I432" s="2"/>
      <c r="J432" s="7"/>
      <c r="M432" s="2"/>
      <c r="N432" s="2"/>
      <c r="O432" s="7"/>
      <c r="P432" s="2"/>
      <c r="Q432" s="2"/>
      <c r="R432" s="2"/>
      <c r="S432" s="2"/>
      <c r="T432" s="2"/>
      <c r="U432" s="7"/>
      <c r="V432" s="37"/>
      <c r="W432" s="37"/>
      <c r="X432" s="37"/>
      <c r="Y432" s="37"/>
      <c r="Z432" s="37"/>
      <c r="AA432" s="37"/>
      <c r="AB432" s="37"/>
      <c r="AC432" s="37"/>
      <c r="AD432" s="37"/>
      <c r="AE432" s="6"/>
    </row>
    <row r="433" spans="4:31" s="1" customFormat="1" x14ac:dyDescent="0.25">
      <c r="D433" s="5"/>
      <c r="E433" s="2"/>
      <c r="F433" s="2"/>
      <c r="G433" s="2"/>
      <c r="H433" s="2"/>
      <c r="I433" s="2"/>
      <c r="J433" s="7"/>
      <c r="M433" s="2"/>
      <c r="N433" s="2"/>
      <c r="O433" s="7"/>
      <c r="P433" s="2"/>
      <c r="Q433" s="2"/>
      <c r="R433" s="2"/>
      <c r="S433" s="2"/>
      <c r="T433" s="2"/>
      <c r="U433" s="7"/>
      <c r="V433" s="37"/>
      <c r="W433" s="37"/>
      <c r="X433" s="37"/>
      <c r="Y433" s="37"/>
      <c r="Z433" s="37"/>
      <c r="AA433" s="37"/>
      <c r="AB433" s="37"/>
      <c r="AC433" s="37"/>
      <c r="AD433" s="37"/>
      <c r="AE433" s="6"/>
    </row>
    <row r="434" spans="4:31" s="1" customFormat="1" x14ac:dyDescent="0.25">
      <c r="D434" s="5"/>
      <c r="E434" s="2"/>
      <c r="F434" s="2"/>
      <c r="G434" s="2"/>
      <c r="H434" s="2"/>
      <c r="I434" s="2"/>
      <c r="J434" s="7"/>
      <c r="M434" s="2"/>
      <c r="N434" s="2"/>
      <c r="O434" s="7"/>
      <c r="P434" s="2"/>
      <c r="Q434" s="2"/>
      <c r="R434" s="2"/>
      <c r="S434" s="2"/>
      <c r="T434" s="2"/>
      <c r="U434" s="7"/>
      <c r="V434" s="37"/>
      <c r="W434" s="37"/>
      <c r="X434" s="37"/>
      <c r="Y434" s="37"/>
      <c r="Z434" s="37"/>
      <c r="AA434" s="37"/>
      <c r="AB434" s="37"/>
      <c r="AC434" s="37"/>
      <c r="AD434" s="37"/>
      <c r="AE434" s="6"/>
    </row>
    <row r="435" spans="4:31" s="1" customFormat="1" x14ac:dyDescent="0.25">
      <c r="D435" s="5"/>
      <c r="E435" s="2"/>
      <c r="F435" s="2"/>
      <c r="G435" s="2"/>
      <c r="H435" s="2"/>
      <c r="I435" s="2"/>
      <c r="J435" s="7"/>
      <c r="M435" s="2"/>
      <c r="N435" s="2"/>
      <c r="O435" s="7"/>
      <c r="P435" s="2"/>
      <c r="Q435" s="2"/>
      <c r="R435" s="2"/>
      <c r="S435" s="2"/>
      <c r="T435" s="2"/>
      <c r="U435" s="7"/>
      <c r="V435" s="37"/>
      <c r="W435" s="37"/>
      <c r="X435" s="37"/>
      <c r="Y435" s="37"/>
      <c r="Z435" s="37"/>
      <c r="AA435" s="37"/>
      <c r="AB435" s="37"/>
      <c r="AC435" s="37"/>
      <c r="AD435" s="37"/>
      <c r="AE435" s="6"/>
    </row>
    <row r="436" spans="4:31" s="1" customFormat="1" x14ac:dyDescent="0.25">
      <c r="D436" s="5"/>
      <c r="E436" s="2"/>
      <c r="F436" s="2"/>
      <c r="G436" s="2"/>
      <c r="H436" s="2"/>
      <c r="I436" s="2"/>
      <c r="J436" s="7"/>
      <c r="M436" s="2"/>
      <c r="N436" s="2"/>
      <c r="O436" s="7"/>
      <c r="P436" s="2"/>
      <c r="Q436" s="2"/>
      <c r="R436" s="2"/>
      <c r="S436" s="2"/>
      <c r="T436" s="2"/>
      <c r="U436" s="7"/>
      <c r="V436" s="37"/>
      <c r="W436" s="37"/>
      <c r="X436" s="37"/>
      <c r="Y436" s="37"/>
      <c r="Z436" s="37"/>
      <c r="AA436" s="37"/>
      <c r="AB436" s="37"/>
      <c r="AC436" s="37"/>
      <c r="AD436" s="37"/>
      <c r="AE436" s="6"/>
    </row>
    <row r="437" spans="4:31" s="1" customFormat="1" x14ac:dyDescent="0.25">
      <c r="D437" s="5"/>
      <c r="E437" s="2"/>
      <c r="F437" s="2"/>
      <c r="G437" s="2"/>
      <c r="H437" s="2"/>
      <c r="I437" s="2"/>
      <c r="J437" s="7"/>
      <c r="M437" s="2"/>
      <c r="N437" s="2"/>
      <c r="O437" s="7"/>
      <c r="P437" s="2"/>
      <c r="Q437" s="2"/>
      <c r="R437" s="2"/>
      <c r="S437" s="2"/>
      <c r="T437" s="2"/>
      <c r="U437" s="7"/>
      <c r="V437" s="37"/>
      <c r="W437" s="37"/>
      <c r="X437" s="37"/>
      <c r="Y437" s="37"/>
      <c r="Z437" s="37"/>
      <c r="AA437" s="37"/>
      <c r="AB437" s="37"/>
      <c r="AC437" s="37"/>
      <c r="AD437" s="37"/>
      <c r="AE437" s="6"/>
    </row>
    <row r="438" spans="4:31" s="1" customFormat="1" x14ac:dyDescent="0.25">
      <c r="D438" s="5"/>
      <c r="E438" s="2"/>
      <c r="F438" s="2"/>
      <c r="G438" s="2"/>
      <c r="H438" s="2"/>
      <c r="I438" s="2"/>
      <c r="J438" s="7"/>
      <c r="M438" s="2"/>
      <c r="N438" s="2"/>
      <c r="O438" s="7"/>
      <c r="P438" s="2"/>
      <c r="Q438" s="2"/>
      <c r="R438" s="2"/>
      <c r="S438" s="2"/>
      <c r="T438" s="2"/>
      <c r="U438" s="7"/>
      <c r="V438" s="37"/>
      <c r="W438" s="37"/>
      <c r="X438" s="37"/>
      <c r="Y438" s="37"/>
      <c r="Z438" s="37"/>
      <c r="AA438" s="37"/>
      <c r="AB438" s="37"/>
      <c r="AC438" s="37"/>
      <c r="AD438" s="37"/>
      <c r="AE438" s="6"/>
    </row>
    <row r="439" spans="4:31" s="1" customFormat="1" x14ac:dyDescent="0.25">
      <c r="D439" s="5"/>
      <c r="E439" s="2"/>
      <c r="F439" s="2"/>
      <c r="G439" s="2"/>
      <c r="H439" s="2"/>
      <c r="I439" s="2"/>
      <c r="J439" s="7"/>
      <c r="M439" s="2"/>
      <c r="N439" s="2"/>
      <c r="O439" s="7"/>
      <c r="P439" s="2"/>
      <c r="Q439" s="2"/>
      <c r="R439" s="2"/>
      <c r="S439" s="2"/>
      <c r="T439" s="2"/>
      <c r="U439" s="7"/>
      <c r="V439" s="37"/>
      <c r="W439" s="37"/>
      <c r="X439" s="37"/>
      <c r="Y439" s="37"/>
      <c r="Z439" s="37"/>
      <c r="AA439" s="37"/>
      <c r="AB439" s="37"/>
      <c r="AC439" s="37"/>
      <c r="AD439" s="37"/>
      <c r="AE439" s="6"/>
    </row>
    <row r="440" spans="4:31" s="1" customFormat="1" x14ac:dyDescent="0.25">
      <c r="D440" s="5"/>
      <c r="E440" s="2"/>
      <c r="F440" s="2"/>
      <c r="G440" s="2"/>
      <c r="H440" s="2"/>
      <c r="I440" s="2"/>
      <c r="J440" s="7"/>
      <c r="M440" s="2"/>
      <c r="N440" s="2"/>
      <c r="O440" s="7"/>
      <c r="P440" s="2"/>
      <c r="Q440" s="2"/>
      <c r="R440" s="2"/>
      <c r="S440" s="2"/>
      <c r="T440" s="2"/>
      <c r="U440" s="7"/>
      <c r="V440" s="37"/>
      <c r="W440" s="37"/>
      <c r="X440" s="37"/>
      <c r="Y440" s="37"/>
      <c r="Z440" s="37"/>
      <c r="AA440" s="37"/>
      <c r="AB440" s="37"/>
      <c r="AC440" s="37"/>
      <c r="AD440" s="37"/>
      <c r="AE440" s="6"/>
    </row>
    <row r="441" spans="4:31" s="1" customFormat="1" x14ac:dyDescent="0.25">
      <c r="D441" s="5"/>
      <c r="E441" s="2"/>
      <c r="F441" s="2"/>
      <c r="G441" s="2"/>
      <c r="H441" s="2"/>
      <c r="I441" s="2"/>
      <c r="J441" s="7"/>
      <c r="M441" s="2"/>
      <c r="N441" s="2"/>
      <c r="O441" s="7"/>
      <c r="P441" s="2"/>
      <c r="Q441" s="2"/>
      <c r="R441" s="2"/>
      <c r="S441" s="2"/>
      <c r="T441" s="2"/>
      <c r="U441" s="7"/>
      <c r="V441" s="37"/>
      <c r="W441" s="37"/>
      <c r="X441" s="37"/>
      <c r="Y441" s="37"/>
      <c r="Z441" s="37"/>
      <c r="AA441" s="37"/>
      <c r="AB441" s="37"/>
      <c r="AC441" s="37"/>
      <c r="AD441" s="37"/>
      <c r="AE441" s="6"/>
    </row>
    <row r="442" spans="4:31" s="1" customFormat="1" x14ac:dyDescent="0.25">
      <c r="D442" s="5"/>
      <c r="E442" s="2"/>
      <c r="F442" s="2"/>
      <c r="G442" s="2"/>
      <c r="H442" s="2"/>
      <c r="I442" s="2"/>
      <c r="J442" s="7"/>
      <c r="M442" s="2"/>
      <c r="N442" s="2"/>
      <c r="O442" s="7"/>
      <c r="P442" s="2"/>
      <c r="Q442" s="2"/>
      <c r="R442" s="2"/>
      <c r="S442" s="2"/>
      <c r="T442" s="2"/>
      <c r="U442" s="7"/>
      <c r="V442" s="37"/>
      <c r="W442" s="37"/>
      <c r="X442" s="37"/>
      <c r="Y442" s="37"/>
      <c r="Z442" s="37"/>
      <c r="AA442" s="37"/>
      <c r="AB442" s="37"/>
      <c r="AC442" s="37"/>
      <c r="AD442" s="37"/>
      <c r="AE442" s="6"/>
    </row>
    <row r="443" spans="4:31" s="1" customFormat="1" x14ac:dyDescent="0.25">
      <c r="D443" s="5"/>
      <c r="E443" s="2"/>
      <c r="F443" s="2"/>
      <c r="G443" s="2"/>
      <c r="H443" s="2"/>
      <c r="I443" s="2"/>
      <c r="J443" s="7"/>
      <c r="M443" s="2"/>
      <c r="N443" s="2"/>
      <c r="O443" s="7"/>
      <c r="P443" s="2"/>
      <c r="Q443" s="2"/>
      <c r="R443" s="2"/>
      <c r="S443" s="2"/>
      <c r="T443" s="2"/>
      <c r="U443" s="7"/>
      <c r="V443" s="37"/>
      <c r="W443" s="37"/>
      <c r="X443" s="37"/>
      <c r="Y443" s="37"/>
      <c r="Z443" s="37"/>
      <c r="AA443" s="37"/>
      <c r="AB443" s="37"/>
      <c r="AC443" s="37"/>
      <c r="AD443" s="37"/>
      <c r="AE443" s="6"/>
    </row>
    <row r="444" spans="4:31" s="1" customFormat="1" x14ac:dyDescent="0.25">
      <c r="D444" s="5"/>
      <c r="E444" s="2"/>
      <c r="F444" s="2"/>
      <c r="G444" s="2"/>
      <c r="H444" s="2"/>
      <c r="I444" s="2"/>
      <c r="J444" s="7"/>
      <c r="M444" s="2"/>
      <c r="N444" s="2"/>
      <c r="O444" s="7"/>
      <c r="P444" s="2"/>
      <c r="Q444" s="2"/>
      <c r="R444" s="2"/>
      <c r="S444" s="2"/>
      <c r="T444" s="2"/>
      <c r="U444" s="7"/>
      <c r="V444" s="37"/>
      <c r="W444" s="37"/>
      <c r="X444" s="37"/>
      <c r="Y444" s="37"/>
      <c r="Z444" s="37"/>
      <c r="AA444" s="37"/>
      <c r="AB444" s="37"/>
      <c r="AC444" s="37"/>
      <c r="AD444" s="37"/>
      <c r="AE444" s="6"/>
    </row>
    <row r="445" spans="4:31" s="1" customFormat="1" x14ac:dyDescent="0.25">
      <c r="D445" s="5"/>
      <c r="E445" s="2"/>
      <c r="F445" s="2"/>
      <c r="G445" s="2"/>
      <c r="H445" s="2"/>
      <c r="I445" s="2"/>
      <c r="J445" s="7"/>
      <c r="M445" s="2"/>
      <c r="N445" s="2"/>
      <c r="O445" s="7"/>
      <c r="P445" s="2"/>
      <c r="Q445" s="2"/>
      <c r="R445" s="2"/>
      <c r="S445" s="2"/>
      <c r="T445" s="2"/>
      <c r="U445" s="7"/>
      <c r="V445" s="37"/>
      <c r="W445" s="37"/>
      <c r="X445" s="37"/>
      <c r="Y445" s="37"/>
      <c r="Z445" s="37"/>
      <c r="AA445" s="37"/>
      <c r="AB445" s="37"/>
      <c r="AC445" s="37"/>
      <c r="AD445" s="37"/>
      <c r="AE445" s="6"/>
    </row>
    <row r="446" spans="4:31" s="1" customFormat="1" x14ac:dyDescent="0.25">
      <c r="D446" s="5"/>
      <c r="E446" s="2"/>
      <c r="F446" s="2"/>
      <c r="G446" s="2"/>
      <c r="H446" s="2"/>
      <c r="I446" s="2"/>
      <c r="J446" s="7"/>
      <c r="M446" s="2"/>
      <c r="N446" s="2"/>
      <c r="O446" s="7"/>
      <c r="P446" s="2"/>
      <c r="Q446" s="2"/>
      <c r="R446" s="2"/>
      <c r="S446" s="2"/>
      <c r="T446" s="2"/>
      <c r="U446" s="7"/>
      <c r="V446" s="37"/>
      <c r="W446" s="37"/>
      <c r="X446" s="37"/>
      <c r="Y446" s="37"/>
      <c r="Z446" s="37"/>
      <c r="AA446" s="37"/>
      <c r="AB446" s="37"/>
      <c r="AC446" s="37"/>
      <c r="AD446" s="37"/>
      <c r="AE446" s="6"/>
    </row>
    <row r="447" spans="4:31" s="1" customFormat="1" x14ac:dyDescent="0.25">
      <c r="D447" s="5"/>
      <c r="E447" s="2"/>
      <c r="F447" s="2"/>
      <c r="G447" s="2"/>
      <c r="H447" s="2"/>
      <c r="I447" s="2"/>
      <c r="J447" s="7"/>
      <c r="M447" s="2"/>
      <c r="N447" s="2"/>
      <c r="O447" s="7"/>
      <c r="P447" s="2"/>
      <c r="Q447" s="2"/>
      <c r="R447" s="2"/>
      <c r="S447" s="2"/>
      <c r="T447" s="2"/>
      <c r="U447" s="7"/>
      <c r="V447" s="37"/>
      <c r="W447" s="37"/>
      <c r="X447" s="37"/>
      <c r="Y447" s="37"/>
      <c r="Z447" s="37"/>
      <c r="AA447" s="37"/>
      <c r="AB447" s="37"/>
      <c r="AC447" s="37"/>
      <c r="AD447" s="37"/>
      <c r="AE447" s="6"/>
    </row>
    <row r="448" spans="4:31" s="1" customFormat="1" x14ac:dyDescent="0.25">
      <c r="D448" s="5"/>
      <c r="E448" s="2"/>
      <c r="F448" s="2"/>
      <c r="G448" s="2"/>
      <c r="H448" s="2"/>
      <c r="I448" s="2"/>
      <c r="J448" s="7"/>
      <c r="M448" s="2"/>
      <c r="N448" s="2"/>
      <c r="O448" s="7"/>
      <c r="P448" s="2"/>
      <c r="Q448" s="2"/>
      <c r="R448" s="2"/>
      <c r="S448" s="2"/>
      <c r="T448" s="2"/>
      <c r="U448" s="7"/>
      <c r="V448" s="37"/>
      <c r="W448" s="37"/>
      <c r="X448" s="37"/>
      <c r="Y448" s="37"/>
      <c r="Z448" s="37"/>
      <c r="AA448" s="37"/>
      <c r="AB448" s="37"/>
      <c r="AC448" s="37"/>
      <c r="AD448" s="37"/>
      <c r="AE448" s="6"/>
    </row>
    <row r="449" spans="4:31" s="1" customFormat="1" x14ac:dyDescent="0.25">
      <c r="D449" s="5"/>
      <c r="E449" s="2"/>
      <c r="F449" s="2"/>
      <c r="G449" s="2"/>
      <c r="H449" s="2"/>
      <c r="I449" s="2"/>
      <c r="J449" s="7"/>
      <c r="M449" s="2"/>
      <c r="N449" s="2"/>
      <c r="O449" s="7"/>
      <c r="P449" s="2"/>
      <c r="Q449" s="2"/>
      <c r="R449" s="2"/>
      <c r="S449" s="2"/>
      <c r="T449" s="2"/>
      <c r="U449" s="7"/>
      <c r="V449" s="37"/>
      <c r="W449" s="37"/>
      <c r="X449" s="37"/>
      <c r="Y449" s="37"/>
      <c r="Z449" s="37"/>
      <c r="AA449" s="37"/>
      <c r="AB449" s="37"/>
      <c r="AC449" s="37"/>
      <c r="AD449" s="37"/>
      <c r="AE449" s="6"/>
    </row>
    <row r="450" spans="4:31" s="1" customFormat="1" x14ac:dyDescent="0.25">
      <c r="D450" s="5"/>
      <c r="E450" s="2"/>
      <c r="F450" s="2"/>
      <c r="G450" s="2"/>
      <c r="H450" s="2"/>
      <c r="I450" s="2"/>
      <c r="J450" s="7"/>
      <c r="M450" s="2"/>
      <c r="N450" s="2"/>
      <c r="O450" s="7"/>
      <c r="P450" s="2"/>
      <c r="Q450" s="2"/>
      <c r="R450" s="2"/>
      <c r="S450" s="2"/>
      <c r="T450" s="2"/>
      <c r="U450" s="7"/>
      <c r="V450" s="37"/>
      <c r="W450" s="37"/>
      <c r="X450" s="37"/>
      <c r="Y450" s="37"/>
      <c r="Z450" s="37"/>
      <c r="AA450" s="37"/>
      <c r="AB450" s="37"/>
      <c r="AC450" s="37"/>
      <c r="AD450" s="37"/>
      <c r="AE450" s="6"/>
    </row>
    <row r="451" spans="4:31" s="1" customFormat="1" x14ac:dyDescent="0.25">
      <c r="D451" s="5"/>
      <c r="E451" s="2"/>
      <c r="F451" s="2"/>
      <c r="G451" s="2"/>
      <c r="H451" s="2"/>
      <c r="I451" s="2"/>
      <c r="J451" s="7"/>
      <c r="M451" s="2"/>
      <c r="N451" s="2"/>
      <c r="O451" s="7"/>
      <c r="P451" s="2"/>
      <c r="Q451" s="2"/>
      <c r="R451" s="2"/>
      <c r="S451" s="2"/>
      <c r="T451" s="2"/>
      <c r="U451" s="7"/>
      <c r="V451" s="37"/>
      <c r="W451" s="37"/>
      <c r="X451" s="37"/>
      <c r="Y451" s="37"/>
      <c r="Z451" s="37"/>
      <c r="AA451" s="37"/>
      <c r="AB451" s="37"/>
      <c r="AC451" s="37"/>
      <c r="AD451" s="37"/>
      <c r="AE451" s="6"/>
    </row>
    <row r="452" spans="4:31" s="1" customFormat="1" x14ac:dyDescent="0.25">
      <c r="D452" s="5"/>
      <c r="E452" s="2"/>
      <c r="F452" s="2"/>
      <c r="G452" s="2"/>
      <c r="H452" s="2"/>
      <c r="I452" s="2"/>
      <c r="J452" s="7"/>
      <c r="M452" s="2"/>
      <c r="N452" s="2"/>
      <c r="O452" s="7"/>
      <c r="P452" s="2"/>
      <c r="Q452" s="2"/>
      <c r="R452" s="2"/>
      <c r="S452" s="2"/>
      <c r="T452" s="2"/>
      <c r="U452" s="7"/>
      <c r="V452" s="37"/>
      <c r="W452" s="37"/>
      <c r="X452" s="37"/>
      <c r="Y452" s="37"/>
      <c r="Z452" s="37"/>
      <c r="AA452" s="37"/>
      <c r="AB452" s="37"/>
      <c r="AC452" s="37"/>
      <c r="AD452" s="37"/>
      <c r="AE452" s="6"/>
    </row>
    <row r="453" spans="4:31" s="1" customFormat="1" x14ac:dyDescent="0.25">
      <c r="D453" s="5"/>
      <c r="E453" s="2"/>
      <c r="F453" s="2"/>
      <c r="G453" s="2"/>
      <c r="H453" s="2"/>
      <c r="I453" s="2"/>
      <c r="J453" s="7"/>
      <c r="M453" s="2"/>
      <c r="N453" s="2"/>
      <c r="O453" s="7"/>
      <c r="P453" s="2"/>
      <c r="Q453" s="2"/>
      <c r="R453" s="2"/>
      <c r="S453" s="2"/>
      <c r="T453" s="2"/>
      <c r="U453" s="7"/>
      <c r="V453" s="37"/>
      <c r="W453" s="37"/>
      <c r="X453" s="37"/>
      <c r="Y453" s="37"/>
      <c r="Z453" s="37"/>
      <c r="AA453" s="37"/>
      <c r="AB453" s="37"/>
      <c r="AC453" s="37"/>
      <c r="AD453" s="37"/>
      <c r="AE453" s="6"/>
    </row>
    <row r="454" spans="4:31" s="1" customFormat="1" x14ac:dyDescent="0.25">
      <c r="D454" s="5"/>
      <c r="E454" s="2"/>
      <c r="F454" s="2"/>
      <c r="G454" s="2"/>
      <c r="H454" s="2"/>
      <c r="I454" s="2"/>
      <c r="J454" s="7"/>
      <c r="M454" s="2"/>
      <c r="N454" s="2"/>
      <c r="O454" s="7"/>
      <c r="P454" s="2"/>
      <c r="Q454" s="2"/>
      <c r="R454" s="2"/>
      <c r="S454" s="2"/>
      <c r="T454" s="2"/>
      <c r="U454" s="7"/>
      <c r="V454" s="37"/>
      <c r="W454" s="37"/>
      <c r="X454" s="37"/>
      <c r="Y454" s="37"/>
      <c r="Z454" s="37"/>
      <c r="AA454" s="37"/>
      <c r="AB454" s="37"/>
      <c r="AC454" s="37"/>
      <c r="AD454" s="37"/>
      <c r="AE454" s="6"/>
    </row>
    <row r="455" spans="4:31" s="1" customFormat="1" x14ac:dyDescent="0.25">
      <c r="D455" s="5"/>
      <c r="E455" s="2"/>
      <c r="F455" s="2"/>
      <c r="G455" s="2"/>
      <c r="H455" s="2"/>
      <c r="I455" s="2"/>
      <c r="J455" s="7"/>
      <c r="M455" s="2"/>
      <c r="N455" s="2"/>
      <c r="O455" s="7"/>
      <c r="P455" s="2"/>
      <c r="Q455" s="2"/>
      <c r="R455" s="2"/>
      <c r="S455" s="2"/>
      <c r="T455" s="2"/>
      <c r="U455" s="7"/>
      <c r="V455" s="37"/>
      <c r="W455" s="37"/>
      <c r="X455" s="37"/>
      <c r="Y455" s="37"/>
      <c r="Z455" s="37"/>
      <c r="AA455" s="37"/>
      <c r="AB455" s="37"/>
      <c r="AC455" s="37"/>
      <c r="AD455" s="37"/>
      <c r="AE455" s="6"/>
    </row>
    <row r="456" spans="4:31" s="1" customFormat="1" x14ac:dyDescent="0.25">
      <c r="D456" s="5"/>
      <c r="E456" s="2"/>
      <c r="F456" s="2"/>
      <c r="G456" s="2"/>
      <c r="H456" s="2"/>
      <c r="I456" s="2"/>
      <c r="J456" s="7"/>
      <c r="M456" s="2"/>
      <c r="N456" s="2"/>
      <c r="O456" s="7"/>
      <c r="P456" s="2"/>
      <c r="Q456" s="2"/>
      <c r="R456" s="2"/>
      <c r="S456" s="2"/>
      <c r="T456" s="2"/>
      <c r="U456" s="7"/>
      <c r="V456" s="37"/>
      <c r="W456" s="37"/>
      <c r="X456" s="37"/>
      <c r="Y456" s="37"/>
      <c r="Z456" s="37"/>
      <c r="AA456" s="37"/>
      <c r="AB456" s="37"/>
      <c r="AC456" s="37"/>
      <c r="AD456" s="37"/>
      <c r="AE456" s="6"/>
    </row>
    <row r="457" spans="4:31" s="1" customFormat="1" x14ac:dyDescent="0.25">
      <c r="D457" s="5"/>
      <c r="E457" s="2"/>
      <c r="F457" s="2"/>
      <c r="G457" s="2"/>
      <c r="H457" s="2"/>
      <c r="I457" s="2"/>
      <c r="J457" s="7"/>
      <c r="M457" s="2"/>
      <c r="N457" s="2"/>
      <c r="O457" s="7"/>
      <c r="P457" s="2"/>
      <c r="Q457" s="2"/>
      <c r="R457" s="2"/>
      <c r="S457" s="2"/>
      <c r="T457" s="2"/>
      <c r="U457" s="7"/>
      <c r="V457" s="37"/>
      <c r="W457" s="37"/>
      <c r="X457" s="37"/>
      <c r="Y457" s="37"/>
      <c r="Z457" s="37"/>
      <c r="AA457" s="37"/>
      <c r="AB457" s="37"/>
      <c r="AC457" s="37"/>
      <c r="AD457" s="37"/>
      <c r="AE457" s="6"/>
    </row>
    <row r="458" spans="4:31" s="1" customFormat="1" x14ac:dyDescent="0.25">
      <c r="D458" s="5"/>
      <c r="E458" s="2"/>
      <c r="F458" s="2"/>
      <c r="G458" s="2"/>
      <c r="H458" s="2"/>
      <c r="I458" s="2"/>
      <c r="J458" s="7"/>
      <c r="M458" s="2"/>
      <c r="N458" s="2"/>
      <c r="O458" s="7"/>
      <c r="P458" s="2"/>
      <c r="Q458" s="2"/>
      <c r="R458" s="2"/>
      <c r="S458" s="2"/>
      <c r="T458" s="2"/>
      <c r="U458" s="7"/>
      <c r="V458" s="37"/>
      <c r="W458" s="37"/>
      <c r="X458" s="37"/>
      <c r="Y458" s="37"/>
      <c r="Z458" s="37"/>
      <c r="AA458" s="37"/>
      <c r="AB458" s="37"/>
      <c r="AC458" s="37"/>
      <c r="AD458" s="37"/>
      <c r="AE458" s="6"/>
    </row>
    <row r="459" spans="4:31" s="1" customFormat="1" x14ac:dyDescent="0.25">
      <c r="D459" s="5"/>
      <c r="E459" s="2"/>
      <c r="F459" s="2"/>
      <c r="G459" s="2"/>
      <c r="H459" s="2"/>
      <c r="I459" s="2"/>
      <c r="J459" s="7"/>
      <c r="M459" s="2"/>
      <c r="N459" s="2"/>
      <c r="O459" s="7"/>
      <c r="P459" s="2"/>
      <c r="Q459" s="2"/>
      <c r="R459" s="2"/>
      <c r="S459" s="2"/>
      <c r="T459" s="2"/>
      <c r="U459" s="7"/>
      <c r="V459" s="37"/>
      <c r="W459" s="37"/>
      <c r="X459" s="37"/>
      <c r="Y459" s="37"/>
      <c r="Z459" s="37"/>
      <c r="AA459" s="37"/>
      <c r="AB459" s="37"/>
      <c r="AC459" s="37"/>
      <c r="AD459" s="37"/>
      <c r="AE459" s="6"/>
    </row>
    <row r="460" spans="4:31" s="1" customFormat="1" x14ac:dyDescent="0.25">
      <c r="D460" s="5"/>
      <c r="E460" s="2"/>
      <c r="F460" s="2"/>
      <c r="G460" s="2"/>
      <c r="H460" s="2"/>
      <c r="I460" s="2"/>
      <c r="J460" s="7"/>
      <c r="M460" s="2"/>
      <c r="N460" s="2"/>
      <c r="O460" s="7"/>
      <c r="P460" s="2"/>
      <c r="Q460" s="2"/>
      <c r="R460" s="2"/>
      <c r="S460" s="2"/>
      <c r="T460" s="2"/>
      <c r="U460" s="7"/>
      <c r="V460" s="37"/>
      <c r="W460" s="37"/>
      <c r="X460" s="37"/>
      <c r="Y460" s="37"/>
      <c r="Z460" s="37"/>
      <c r="AA460" s="37"/>
      <c r="AB460" s="37"/>
      <c r="AC460" s="37"/>
      <c r="AD460" s="37"/>
      <c r="AE460" s="6"/>
    </row>
    <row r="461" spans="4:31" s="1" customFormat="1" x14ac:dyDescent="0.25">
      <c r="D461" s="5"/>
      <c r="E461" s="2"/>
      <c r="F461" s="2"/>
      <c r="G461" s="2"/>
      <c r="H461" s="2"/>
      <c r="I461" s="2"/>
      <c r="J461" s="7"/>
      <c r="M461" s="2"/>
      <c r="N461" s="2"/>
      <c r="O461" s="7"/>
      <c r="P461" s="2"/>
      <c r="Q461" s="2"/>
      <c r="R461" s="2"/>
      <c r="S461" s="2"/>
      <c r="T461" s="2"/>
      <c r="U461" s="7"/>
      <c r="V461" s="37"/>
      <c r="W461" s="37"/>
      <c r="X461" s="37"/>
      <c r="Y461" s="37"/>
      <c r="Z461" s="37"/>
      <c r="AA461" s="37"/>
      <c r="AB461" s="37"/>
      <c r="AC461" s="37"/>
      <c r="AD461" s="37"/>
      <c r="AE461" s="6"/>
    </row>
    <row r="462" spans="4:31" s="1" customFormat="1" x14ac:dyDescent="0.25">
      <c r="D462" s="5"/>
      <c r="E462" s="2"/>
      <c r="F462" s="2"/>
      <c r="G462" s="2"/>
      <c r="H462" s="2"/>
      <c r="I462" s="2"/>
      <c r="J462" s="7"/>
      <c r="M462" s="2"/>
      <c r="N462" s="2"/>
      <c r="O462" s="7"/>
      <c r="P462" s="2"/>
      <c r="Q462" s="2"/>
      <c r="R462" s="2"/>
      <c r="S462" s="2"/>
      <c r="T462" s="2"/>
      <c r="U462" s="7"/>
      <c r="V462" s="37"/>
      <c r="W462" s="37"/>
      <c r="X462" s="37"/>
      <c r="Y462" s="37"/>
      <c r="Z462" s="37"/>
      <c r="AA462" s="37"/>
      <c r="AB462" s="37"/>
      <c r="AC462" s="37"/>
      <c r="AD462" s="37"/>
      <c r="AE462" s="6"/>
    </row>
    <row r="463" spans="4:31" s="1" customFormat="1" x14ac:dyDescent="0.25">
      <c r="D463" s="5"/>
      <c r="E463" s="2"/>
      <c r="F463" s="2"/>
      <c r="G463" s="2"/>
      <c r="H463" s="2"/>
      <c r="I463" s="2"/>
      <c r="J463" s="7"/>
      <c r="M463" s="2"/>
      <c r="N463" s="2"/>
      <c r="O463" s="7"/>
      <c r="P463" s="2"/>
      <c r="Q463" s="2"/>
      <c r="R463" s="2"/>
      <c r="S463" s="2"/>
      <c r="T463" s="2"/>
      <c r="U463" s="7"/>
      <c r="V463" s="37"/>
      <c r="W463" s="37"/>
      <c r="X463" s="37"/>
      <c r="Y463" s="37"/>
      <c r="Z463" s="37"/>
      <c r="AA463" s="37"/>
      <c r="AB463" s="37"/>
      <c r="AC463" s="37"/>
      <c r="AD463" s="37"/>
      <c r="AE463" s="6"/>
    </row>
    <row r="464" spans="4:31" s="1" customFormat="1" x14ac:dyDescent="0.25">
      <c r="D464" s="5"/>
      <c r="E464" s="2"/>
      <c r="F464" s="2"/>
      <c r="G464" s="2"/>
      <c r="H464" s="2"/>
      <c r="I464" s="2"/>
      <c r="J464" s="7"/>
      <c r="M464" s="2"/>
      <c r="N464" s="2"/>
      <c r="O464" s="7"/>
      <c r="P464" s="2"/>
      <c r="Q464" s="2"/>
      <c r="R464" s="2"/>
      <c r="S464" s="2"/>
      <c r="T464" s="2"/>
      <c r="U464" s="7"/>
      <c r="V464" s="37"/>
      <c r="W464" s="37"/>
      <c r="X464" s="37"/>
      <c r="Y464" s="37"/>
      <c r="Z464" s="37"/>
      <c r="AA464" s="37"/>
      <c r="AB464" s="37"/>
      <c r="AC464" s="37"/>
      <c r="AD464" s="37"/>
      <c r="AE464" s="6"/>
    </row>
    <row r="465" spans="4:31" s="1" customFormat="1" x14ac:dyDescent="0.25">
      <c r="D465" s="5"/>
      <c r="E465" s="2"/>
      <c r="F465" s="2"/>
      <c r="G465" s="2"/>
      <c r="H465" s="2"/>
      <c r="I465" s="2"/>
      <c r="J465" s="7"/>
      <c r="M465" s="2"/>
      <c r="N465" s="2"/>
      <c r="O465" s="7"/>
      <c r="P465" s="2"/>
      <c r="Q465" s="2"/>
      <c r="R465" s="2"/>
      <c r="S465" s="2"/>
      <c r="T465" s="2"/>
      <c r="U465" s="7"/>
      <c r="V465" s="37"/>
      <c r="W465" s="37"/>
      <c r="X465" s="37"/>
      <c r="Y465" s="37"/>
      <c r="Z465" s="37"/>
      <c r="AA465" s="37"/>
      <c r="AB465" s="37"/>
      <c r="AC465" s="37"/>
      <c r="AD465" s="37"/>
      <c r="AE465" s="6"/>
    </row>
    <row r="466" spans="4:31" s="1" customFormat="1" x14ac:dyDescent="0.25">
      <c r="D466" s="5"/>
      <c r="E466" s="2"/>
      <c r="F466" s="2"/>
      <c r="G466" s="2"/>
      <c r="H466" s="2"/>
      <c r="I466" s="2"/>
      <c r="J466" s="7"/>
      <c r="M466" s="2"/>
      <c r="N466" s="2"/>
      <c r="O466" s="7"/>
      <c r="P466" s="2"/>
      <c r="Q466" s="2"/>
      <c r="R466" s="2"/>
      <c r="S466" s="2"/>
      <c r="T466" s="2"/>
      <c r="U466" s="7"/>
      <c r="V466" s="37"/>
      <c r="W466" s="37"/>
      <c r="X466" s="37"/>
      <c r="Y466" s="37"/>
      <c r="Z466" s="37"/>
      <c r="AA466" s="37"/>
      <c r="AB466" s="37"/>
      <c r="AC466" s="37"/>
      <c r="AD466" s="37"/>
      <c r="AE466" s="6"/>
    </row>
    <row r="467" spans="4:31" s="1" customFormat="1" x14ac:dyDescent="0.25">
      <c r="D467" s="5"/>
      <c r="E467" s="2"/>
      <c r="F467" s="2"/>
      <c r="G467" s="2"/>
      <c r="H467" s="2"/>
      <c r="I467" s="2"/>
      <c r="J467" s="7"/>
      <c r="M467" s="2"/>
      <c r="N467" s="2"/>
      <c r="O467" s="7"/>
      <c r="P467" s="2"/>
      <c r="Q467" s="2"/>
      <c r="R467" s="2"/>
      <c r="S467" s="2"/>
      <c r="T467" s="2"/>
      <c r="U467" s="7"/>
      <c r="V467" s="37"/>
      <c r="W467" s="37"/>
      <c r="X467" s="37"/>
      <c r="Y467" s="37"/>
      <c r="Z467" s="37"/>
      <c r="AA467" s="37"/>
      <c r="AB467" s="37"/>
      <c r="AC467" s="37"/>
      <c r="AD467" s="37"/>
      <c r="AE467" s="6"/>
    </row>
    <row r="468" spans="4:31" s="1" customFormat="1" x14ac:dyDescent="0.25">
      <c r="D468" s="5"/>
      <c r="E468" s="2"/>
      <c r="F468" s="2"/>
      <c r="G468" s="2"/>
      <c r="H468" s="2"/>
      <c r="I468" s="2"/>
      <c r="J468" s="7"/>
      <c r="M468" s="2"/>
      <c r="N468" s="2"/>
      <c r="O468" s="7"/>
      <c r="P468" s="2"/>
      <c r="Q468" s="2"/>
      <c r="R468" s="2"/>
      <c r="S468" s="2"/>
      <c r="T468" s="2"/>
      <c r="U468" s="7"/>
      <c r="V468" s="37"/>
      <c r="W468" s="37"/>
      <c r="X468" s="37"/>
      <c r="Y468" s="37"/>
      <c r="Z468" s="37"/>
      <c r="AA468" s="37"/>
      <c r="AB468" s="37"/>
      <c r="AC468" s="37"/>
      <c r="AD468" s="37"/>
      <c r="AE468" s="6"/>
    </row>
    <row r="469" spans="4:31" s="1" customFormat="1" x14ac:dyDescent="0.25">
      <c r="D469" s="5"/>
      <c r="E469" s="2"/>
      <c r="F469" s="2"/>
      <c r="G469" s="2"/>
      <c r="H469" s="2"/>
      <c r="I469" s="2"/>
      <c r="J469" s="7"/>
      <c r="M469" s="2"/>
      <c r="N469" s="2"/>
      <c r="O469" s="7"/>
      <c r="P469" s="2"/>
      <c r="Q469" s="2"/>
      <c r="R469" s="2"/>
      <c r="S469" s="2"/>
      <c r="T469" s="2"/>
      <c r="U469" s="7"/>
      <c r="V469" s="37"/>
      <c r="W469" s="37"/>
      <c r="X469" s="37"/>
      <c r="Y469" s="37"/>
      <c r="Z469" s="37"/>
      <c r="AA469" s="37"/>
      <c r="AB469" s="37"/>
      <c r="AC469" s="37"/>
      <c r="AD469" s="37"/>
      <c r="AE469" s="6"/>
    </row>
    <row r="470" spans="4:31" s="1" customFormat="1" x14ac:dyDescent="0.25">
      <c r="D470" s="5"/>
      <c r="E470" s="2"/>
      <c r="F470" s="2"/>
      <c r="G470" s="2"/>
      <c r="H470" s="2"/>
      <c r="I470" s="2"/>
      <c r="J470" s="7"/>
      <c r="M470" s="2"/>
      <c r="N470" s="2"/>
      <c r="O470" s="7"/>
      <c r="P470" s="2"/>
      <c r="Q470" s="2"/>
      <c r="R470" s="2"/>
      <c r="S470" s="2"/>
      <c r="T470" s="2"/>
      <c r="U470" s="7"/>
      <c r="V470" s="37"/>
      <c r="W470" s="37"/>
      <c r="X470" s="37"/>
      <c r="Y470" s="37"/>
      <c r="Z470" s="37"/>
      <c r="AA470" s="37"/>
      <c r="AB470" s="37"/>
      <c r="AC470" s="37"/>
      <c r="AD470" s="37"/>
      <c r="AE470" s="6"/>
    </row>
    <row r="471" spans="4:31" s="1" customFormat="1" x14ac:dyDescent="0.25">
      <c r="D471" s="5"/>
      <c r="E471" s="2"/>
      <c r="F471" s="2"/>
      <c r="G471" s="2"/>
      <c r="H471" s="2"/>
      <c r="I471" s="2"/>
      <c r="J471" s="7"/>
      <c r="M471" s="2"/>
      <c r="N471" s="2"/>
      <c r="O471" s="7"/>
      <c r="P471" s="2"/>
      <c r="Q471" s="2"/>
      <c r="R471" s="2"/>
      <c r="S471" s="2"/>
      <c r="T471" s="2"/>
      <c r="U471" s="7"/>
      <c r="V471" s="37"/>
      <c r="W471" s="37"/>
      <c r="X471" s="37"/>
      <c r="Y471" s="37"/>
      <c r="Z471" s="37"/>
      <c r="AA471" s="37"/>
      <c r="AB471" s="37"/>
      <c r="AC471" s="37"/>
      <c r="AD471" s="37"/>
      <c r="AE471" s="6"/>
    </row>
    <row r="472" spans="4:31" s="1" customFormat="1" x14ac:dyDescent="0.25">
      <c r="D472" s="5"/>
      <c r="E472" s="2"/>
      <c r="F472" s="2"/>
      <c r="G472" s="2"/>
      <c r="H472" s="2"/>
      <c r="I472" s="2"/>
      <c r="J472" s="7"/>
      <c r="M472" s="2"/>
      <c r="N472" s="2"/>
      <c r="O472" s="7"/>
      <c r="P472" s="2"/>
      <c r="Q472" s="2"/>
      <c r="R472" s="2"/>
      <c r="S472" s="2"/>
      <c r="T472" s="2"/>
      <c r="U472" s="7"/>
      <c r="V472" s="37"/>
      <c r="W472" s="37"/>
      <c r="X472" s="37"/>
      <c r="Y472" s="37"/>
      <c r="Z472" s="37"/>
      <c r="AA472" s="37"/>
      <c r="AB472" s="37"/>
      <c r="AC472" s="37"/>
      <c r="AD472" s="37"/>
      <c r="AE472" s="6"/>
    </row>
    <row r="473" spans="4:31" s="1" customFormat="1" x14ac:dyDescent="0.25">
      <c r="D473" s="5"/>
      <c r="E473" s="2"/>
      <c r="F473" s="2"/>
      <c r="G473" s="2"/>
      <c r="H473" s="2"/>
      <c r="I473" s="2"/>
      <c r="J473" s="7"/>
      <c r="M473" s="2"/>
      <c r="N473" s="2"/>
      <c r="O473" s="7"/>
      <c r="P473" s="2"/>
      <c r="Q473" s="2"/>
      <c r="R473" s="2"/>
      <c r="S473" s="2"/>
      <c r="T473" s="2"/>
      <c r="U473" s="7"/>
      <c r="V473" s="37"/>
      <c r="W473" s="37"/>
      <c r="X473" s="37"/>
      <c r="Y473" s="37"/>
      <c r="Z473" s="37"/>
      <c r="AA473" s="37"/>
      <c r="AB473" s="37"/>
      <c r="AC473" s="37"/>
      <c r="AD473" s="37"/>
      <c r="AE473" s="6"/>
    </row>
    <row r="474" spans="4:31" s="1" customFormat="1" x14ac:dyDescent="0.25">
      <c r="D474" s="5"/>
      <c r="E474" s="2"/>
      <c r="F474" s="2"/>
      <c r="G474" s="2"/>
      <c r="H474" s="2"/>
      <c r="I474" s="2"/>
      <c r="J474" s="7"/>
      <c r="M474" s="2"/>
      <c r="N474" s="2"/>
      <c r="O474" s="7"/>
      <c r="P474" s="2"/>
      <c r="Q474" s="2"/>
      <c r="R474" s="2"/>
      <c r="S474" s="2"/>
      <c r="T474" s="2"/>
      <c r="U474" s="7"/>
      <c r="V474" s="37"/>
      <c r="W474" s="37"/>
      <c r="X474" s="37"/>
      <c r="Y474" s="37"/>
      <c r="Z474" s="37"/>
      <c r="AA474" s="37"/>
      <c r="AB474" s="37"/>
      <c r="AC474" s="37"/>
      <c r="AD474" s="37"/>
      <c r="AE474" s="6"/>
    </row>
    <row r="475" spans="4:31" s="1" customFormat="1" x14ac:dyDescent="0.25">
      <c r="D475" s="5"/>
      <c r="E475" s="2"/>
      <c r="F475" s="2"/>
      <c r="G475" s="2"/>
      <c r="H475" s="2"/>
      <c r="I475" s="2"/>
      <c r="J475" s="7"/>
      <c r="M475" s="2"/>
      <c r="N475" s="2"/>
      <c r="O475" s="7"/>
      <c r="P475" s="2"/>
      <c r="Q475" s="2"/>
      <c r="R475" s="2"/>
      <c r="S475" s="2"/>
      <c r="T475" s="2"/>
      <c r="U475" s="7"/>
      <c r="V475" s="37"/>
      <c r="W475" s="37"/>
      <c r="X475" s="37"/>
      <c r="Y475" s="37"/>
      <c r="Z475" s="37"/>
      <c r="AA475" s="37"/>
      <c r="AB475" s="37"/>
      <c r="AC475" s="37"/>
      <c r="AD475" s="37"/>
      <c r="AE475" s="6"/>
    </row>
    <row r="476" spans="4:31" s="1" customFormat="1" x14ac:dyDescent="0.25">
      <c r="D476" s="5"/>
      <c r="E476" s="2"/>
      <c r="F476" s="2"/>
      <c r="G476" s="2"/>
      <c r="H476" s="2"/>
      <c r="I476" s="2"/>
      <c r="J476" s="7"/>
      <c r="M476" s="2"/>
      <c r="N476" s="2"/>
      <c r="O476" s="7"/>
      <c r="P476" s="2"/>
      <c r="Q476" s="2"/>
      <c r="R476" s="2"/>
      <c r="S476" s="2"/>
      <c r="T476" s="2"/>
      <c r="U476" s="7"/>
      <c r="V476" s="37"/>
      <c r="W476" s="37"/>
      <c r="X476" s="37"/>
      <c r="Y476" s="37"/>
      <c r="Z476" s="37"/>
      <c r="AA476" s="37"/>
      <c r="AB476" s="37"/>
      <c r="AC476" s="37"/>
      <c r="AD476" s="37"/>
      <c r="AE476" s="6"/>
    </row>
    <row r="477" spans="4:31" s="1" customFormat="1" x14ac:dyDescent="0.25">
      <c r="D477" s="5"/>
      <c r="E477" s="2"/>
      <c r="F477" s="2"/>
      <c r="G477" s="2"/>
      <c r="H477" s="2"/>
      <c r="I477" s="2"/>
      <c r="J477" s="7"/>
      <c r="M477" s="2"/>
      <c r="N477" s="2"/>
      <c r="O477" s="7"/>
      <c r="P477" s="2"/>
      <c r="Q477" s="2"/>
      <c r="R477" s="2"/>
      <c r="S477" s="2"/>
      <c r="T477" s="2"/>
      <c r="U477" s="7"/>
      <c r="V477" s="37"/>
      <c r="W477" s="37"/>
      <c r="X477" s="37"/>
      <c r="Y477" s="37"/>
      <c r="Z477" s="37"/>
      <c r="AA477" s="37"/>
      <c r="AB477" s="37"/>
      <c r="AC477" s="37"/>
      <c r="AD477" s="37"/>
      <c r="AE477" s="6"/>
    </row>
    <row r="478" spans="4:31" s="1" customFormat="1" x14ac:dyDescent="0.25">
      <c r="D478" s="5"/>
      <c r="E478" s="2"/>
      <c r="F478" s="2"/>
      <c r="G478" s="2"/>
      <c r="H478" s="2"/>
      <c r="I478" s="2"/>
      <c r="J478" s="7"/>
      <c r="M478" s="2"/>
      <c r="N478" s="2"/>
      <c r="O478" s="7"/>
      <c r="P478" s="2"/>
      <c r="Q478" s="2"/>
      <c r="R478" s="2"/>
      <c r="S478" s="2"/>
      <c r="T478" s="2"/>
      <c r="U478" s="7"/>
      <c r="V478" s="37"/>
      <c r="W478" s="37"/>
      <c r="X478" s="37"/>
      <c r="Y478" s="37"/>
      <c r="Z478" s="37"/>
      <c r="AA478" s="37"/>
      <c r="AB478" s="37"/>
      <c r="AC478" s="37"/>
      <c r="AD478" s="37"/>
      <c r="AE478" s="6"/>
    </row>
    <row r="479" spans="4:31" s="1" customFormat="1" x14ac:dyDescent="0.25">
      <c r="D479" s="5"/>
      <c r="E479" s="2"/>
      <c r="F479" s="2"/>
      <c r="G479" s="2"/>
      <c r="H479" s="2"/>
      <c r="I479" s="2"/>
      <c r="J479" s="7"/>
      <c r="M479" s="2"/>
      <c r="N479" s="2"/>
      <c r="O479" s="7"/>
      <c r="P479" s="2"/>
      <c r="Q479" s="2"/>
      <c r="R479" s="2"/>
      <c r="S479" s="2"/>
      <c r="T479" s="2"/>
      <c r="U479" s="7"/>
      <c r="V479" s="37"/>
      <c r="W479" s="37"/>
      <c r="X479" s="37"/>
      <c r="Y479" s="37"/>
      <c r="Z479" s="37"/>
      <c r="AA479" s="37"/>
      <c r="AB479" s="37"/>
      <c r="AC479" s="37"/>
      <c r="AD479" s="37"/>
      <c r="AE479" s="6"/>
    </row>
    <row r="480" spans="4:31" s="1" customFormat="1" x14ac:dyDescent="0.25">
      <c r="D480" s="5"/>
      <c r="E480" s="2"/>
      <c r="F480" s="2"/>
      <c r="G480" s="2"/>
      <c r="H480" s="2"/>
      <c r="I480" s="2"/>
      <c r="J480" s="7"/>
      <c r="M480" s="2"/>
      <c r="N480" s="2"/>
      <c r="O480" s="7"/>
      <c r="P480" s="2"/>
      <c r="Q480" s="2"/>
      <c r="R480" s="2"/>
      <c r="S480" s="2"/>
      <c r="T480" s="2"/>
      <c r="U480" s="7"/>
      <c r="V480" s="37"/>
      <c r="W480" s="37"/>
      <c r="X480" s="37"/>
      <c r="Y480" s="37"/>
      <c r="Z480" s="37"/>
      <c r="AA480" s="37"/>
      <c r="AB480" s="37"/>
      <c r="AC480" s="37"/>
      <c r="AD480" s="37"/>
      <c r="AE480" s="6"/>
    </row>
    <row r="481" spans="4:31" s="1" customFormat="1" x14ac:dyDescent="0.25">
      <c r="D481" s="5"/>
      <c r="E481" s="2"/>
      <c r="F481" s="2"/>
      <c r="G481" s="2"/>
      <c r="H481" s="2"/>
      <c r="I481" s="2"/>
      <c r="J481" s="7"/>
      <c r="M481" s="2"/>
      <c r="N481" s="2"/>
      <c r="O481" s="7"/>
      <c r="P481" s="2"/>
      <c r="Q481" s="2"/>
      <c r="R481" s="2"/>
      <c r="S481" s="2"/>
      <c r="T481" s="2"/>
      <c r="U481" s="7"/>
      <c r="V481" s="37"/>
      <c r="W481" s="37"/>
      <c r="X481" s="37"/>
      <c r="Y481" s="37"/>
      <c r="Z481" s="37"/>
      <c r="AA481" s="37"/>
      <c r="AB481" s="37"/>
      <c r="AC481" s="37"/>
      <c r="AD481" s="37"/>
      <c r="AE481" s="6"/>
    </row>
    <row r="482" spans="4:31" s="1" customFormat="1" x14ac:dyDescent="0.25">
      <c r="D482" s="5"/>
      <c r="E482" s="2"/>
      <c r="F482" s="2"/>
      <c r="G482" s="2"/>
      <c r="H482" s="2"/>
      <c r="I482" s="2"/>
      <c r="J482" s="7"/>
      <c r="M482" s="2"/>
      <c r="N482" s="2"/>
      <c r="O482" s="7"/>
      <c r="P482" s="2"/>
      <c r="Q482" s="2"/>
      <c r="R482" s="2"/>
      <c r="S482" s="2"/>
      <c r="T482" s="2"/>
      <c r="U482" s="7"/>
      <c r="V482" s="37"/>
      <c r="W482" s="37"/>
      <c r="X482" s="37"/>
      <c r="Y482" s="37"/>
      <c r="Z482" s="37"/>
      <c r="AA482" s="37"/>
      <c r="AB482" s="37"/>
      <c r="AC482" s="37"/>
      <c r="AD482" s="37"/>
      <c r="AE482" s="6"/>
    </row>
    <row r="483" spans="4:31" s="1" customFormat="1" x14ac:dyDescent="0.25">
      <c r="D483" s="5"/>
      <c r="E483" s="2"/>
      <c r="F483" s="2"/>
      <c r="G483" s="2"/>
      <c r="H483" s="2"/>
      <c r="I483" s="2"/>
      <c r="J483" s="7"/>
      <c r="M483" s="2"/>
      <c r="N483" s="2"/>
      <c r="O483" s="7"/>
      <c r="P483" s="2"/>
      <c r="Q483" s="2"/>
      <c r="R483" s="2"/>
      <c r="S483" s="2"/>
      <c r="T483" s="2"/>
      <c r="U483" s="7"/>
      <c r="V483" s="37"/>
      <c r="W483" s="37"/>
      <c r="X483" s="37"/>
      <c r="Y483" s="37"/>
      <c r="Z483" s="37"/>
      <c r="AA483" s="37"/>
      <c r="AB483" s="37"/>
      <c r="AC483" s="37"/>
      <c r="AD483" s="37"/>
      <c r="AE483" s="6"/>
    </row>
    <row r="484" spans="4:31" s="1" customFormat="1" x14ac:dyDescent="0.25">
      <c r="D484" s="5"/>
      <c r="E484" s="2"/>
      <c r="F484" s="2"/>
      <c r="G484" s="2"/>
      <c r="H484" s="2"/>
      <c r="I484" s="2"/>
      <c r="J484" s="7"/>
      <c r="M484" s="2"/>
      <c r="N484" s="2"/>
      <c r="O484" s="7"/>
      <c r="P484" s="2"/>
      <c r="Q484" s="2"/>
      <c r="R484" s="2"/>
      <c r="S484" s="2"/>
      <c r="T484" s="2"/>
      <c r="U484" s="7"/>
      <c r="V484" s="37"/>
      <c r="W484" s="37"/>
      <c r="X484" s="37"/>
      <c r="Y484" s="37"/>
      <c r="Z484" s="37"/>
      <c r="AA484" s="37"/>
      <c r="AB484" s="37"/>
      <c r="AC484" s="37"/>
      <c r="AD484" s="37"/>
      <c r="AE484" s="6"/>
    </row>
    <row r="485" spans="4:31" s="1" customFormat="1" x14ac:dyDescent="0.25">
      <c r="D485" s="5"/>
      <c r="E485" s="2"/>
      <c r="F485" s="2"/>
      <c r="G485" s="2"/>
      <c r="H485" s="2"/>
      <c r="I485" s="2"/>
      <c r="J485" s="7"/>
      <c r="M485" s="2"/>
      <c r="N485" s="2"/>
      <c r="O485" s="7"/>
      <c r="P485" s="2"/>
      <c r="Q485" s="2"/>
      <c r="R485" s="2"/>
      <c r="S485" s="2"/>
      <c r="T485" s="2"/>
      <c r="U485" s="7"/>
      <c r="V485" s="37"/>
      <c r="W485" s="37"/>
      <c r="X485" s="37"/>
      <c r="Y485" s="37"/>
      <c r="Z485" s="37"/>
      <c r="AA485" s="37"/>
      <c r="AB485" s="37"/>
      <c r="AC485" s="37"/>
      <c r="AD485" s="37"/>
      <c r="AE485" s="6"/>
    </row>
    <row r="486" spans="4:31" s="1" customFormat="1" x14ac:dyDescent="0.25">
      <c r="D486" s="5"/>
      <c r="E486" s="2"/>
      <c r="F486" s="2"/>
      <c r="G486" s="2"/>
      <c r="H486" s="2"/>
      <c r="I486" s="2"/>
      <c r="J486" s="7"/>
      <c r="M486" s="2"/>
      <c r="N486" s="2"/>
      <c r="O486" s="7"/>
      <c r="P486" s="2"/>
      <c r="Q486" s="2"/>
      <c r="R486" s="2"/>
      <c r="S486" s="2"/>
      <c r="T486" s="2"/>
      <c r="U486" s="7"/>
      <c r="V486" s="37"/>
      <c r="W486" s="37"/>
      <c r="X486" s="37"/>
      <c r="Y486" s="37"/>
      <c r="Z486" s="37"/>
      <c r="AA486" s="37"/>
      <c r="AB486" s="37"/>
      <c r="AC486" s="37"/>
      <c r="AD486" s="37"/>
      <c r="AE486" s="6"/>
    </row>
    <row r="487" spans="4:31" s="1" customFormat="1" x14ac:dyDescent="0.25">
      <c r="D487" s="5"/>
      <c r="E487" s="2"/>
      <c r="F487" s="2"/>
      <c r="G487" s="2"/>
      <c r="H487" s="2"/>
      <c r="I487" s="2"/>
      <c r="J487" s="7"/>
      <c r="M487" s="2"/>
      <c r="N487" s="2"/>
      <c r="O487" s="7"/>
      <c r="P487" s="2"/>
      <c r="Q487" s="2"/>
      <c r="R487" s="2"/>
      <c r="S487" s="2"/>
      <c r="T487" s="2"/>
      <c r="U487" s="7"/>
      <c r="V487" s="37"/>
      <c r="W487" s="37"/>
      <c r="X487" s="37"/>
      <c r="Y487" s="37"/>
      <c r="Z487" s="37"/>
      <c r="AA487" s="37"/>
      <c r="AB487" s="37"/>
      <c r="AC487" s="37"/>
      <c r="AD487" s="37"/>
      <c r="AE487" s="6"/>
    </row>
    <row r="488" spans="4:31" s="1" customFormat="1" x14ac:dyDescent="0.25">
      <c r="D488" s="5"/>
      <c r="E488" s="2"/>
      <c r="F488" s="2"/>
      <c r="G488" s="2"/>
      <c r="H488" s="2"/>
      <c r="I488" s="2"/>
      <c r="J488" s="7"/>
      <c r="M488" s="2"/>
      <c r="N488" s="2"/>
      <c r="O488" s="7"/>
      <c r="P488" s="2"/>
      <c r="Q488" s="2"/>
      <c r="R488" s="2"/>
      <c r="S488" s="2"/>
      <c r="T488" s="2"/>
      <c r="U488" s="7"/>
      <c r="V488" s="37"/>
      <c r="W488" s="37"/>
      <c r="X488" s="37"/>
      <c r="Y488" s="37"/>
      <c r="Z488" s="37"/>
      <c r="AA488" s="37"/>
      <c r="AB488" s="37"/>
      <c r="AC488" s="37"/>
      <c r="AD488" s="37"/>
      <c r="AE488" s="6"/>
    </row>
    <row r="489" spans="4:31" s="1" customFormat="1" x14ac:dyDescent="0.25">
      <c r="D489" s="5"/>
      <c r="E489" s="2"/>
      <c r="F489" s="2"/>
      <c r="G489" s="2"/>
      <c r="H489" s="2"/>
      <c r="I489" s="2"/>
      <c r="J489" s="7"/>
      <c r="M489" s="2"/>
      <c r="N489" s="2"/>
      <c r="O489" s="7"/>
      <c r="P489" s="2"/>
      <c r="Q489" s="2"/>
      <c r="R489" s="2"/>
      <c r="S489" s="2"/>
      <c r="T489" s="2"/>
      <c r="U489" s="7"/>
      <c r="V489" s="37"/>
      <c r="W489" s="37"/>
      <c r="X489" s="37"/>
      <c r="Y489" s="37"/>
      <c r="Z489" s="37"/>
      <c r="AA489" s="37"/>
      <c r="AB489" s="37"/>
      <c r="AC489" s="37"/>
      <c r="AD489" s="37"/>
      <c r="AE489" s="6"/>
    </row>
    <row r="490" spans="4:31" s="1" customFormat="1" x14ac:dyDescent="0.25">
      <c r="D490" s="5"/>
      <c r="E490" s="2"/>
      <c r="F490" s="2"/>
      <c r="G490" s="2"/>
      <c r="H490" s="2"/>
      <c r="I490" s="2"/>
      <c r="J490" s="7"/>
      <c r="M490" s="2"/>
      <c r="N490" s="2"/>
      <c r="O490" s="7"/>
      <c r="P490" s="2"/>
      <c r="Q490" s="2"/>
      <c r="R490" s="2"/>
      <c r="S490" s="2"/>
      <c r="T490" s="2"/>
      <c r="U490" s="7"/>
      <c r="V490" s="37"/>
      <c r="W490" s="37"/>
      <c r="X490" s="37"/>
      <c r="Y490" s="37"/>
      <c r="Z490" s="37"/>
      <c r="AA490" s="37"/>
      <c r="AB490" s="37"/>
      <c r="AC490" s="37"/>
      <c r="AD490" s="37"/>
      <c r="AE490" s="6"/>
    </row>
    <row r="491" spans="4:31" s="1" customFormat="1" x14ac:dyDescent="0.25">
      <c r="D491" s="5"/>
      <c r="E491" s="2"/>
      <c r="F491" s="2"/>
      <c r="G491" s="2"/>
      <c r="H491" s="2"/>
      <c r="I491" s="2"/>
      <c r="J491" s="7"/>
      <c r="M491" s="2"/>
      <c r="N491" s="2"/>
      <c r="O491" s="7"/>
      <c r="P491" s="2"/>
      <c r="Q491" s="2"/>
      <c r="R491" s="2"/>
      <c r="S491" s="2"/>
      <c r="T491" s="2"/>
      <c r="U491" s="7"/>
      <c r="V491" s="37"/>
      <c r="W491" s="37"/>
      <c r="X491" s="37"/>
      <c r="Y491" s="37"/>
      <c r="Z491" s="37"/>
      <c r="AA491" s="37"/>
      <c r="AB491" s="37"/>
      <c r="AC491" s="37"/>
      <c r="AD491" s="37"/>
      <c r="AE491" s="6"/>
    </row>
    <row r="492" spans="4:31" s="1" customFormat="1" x14ac:dyDescent="0.25">
      <c r="D492" s="5"/>
      <c r="E492" s="2"/>
      <c r="F492" s="2"/>
      <c r="G492" s="2"/>
      <c r="H492" s="2"/>
      <c r="I492" s="2"/>
      <c r="J492" s="7"/>
      <c r="M492" s="2"/>
      <c r="N492" s="2"/>
      <c r="O492" s="7"/>
      <c r="P492" s="2"/>
      <c r="Q492" s="2"/>
      <c r="R492" s="2"/>
      <c r="S492" s="2"/>
      <c r="T492" s="2"/>
      <c r="U492" s="7"/>
      <c r="V492" s="37"/>
      <c r="W492" s="37"/>
      <c r="X492" s="37"/>
      <c r="Y492" s="37"/>
      <c r="Z492" s="37"/>
      <c r="AA492" s="37"/>
      <c r="AB492" s="37"/>
      <c r="AC492" s="37"/>
      <c r="AD492" s="37"/>
      <c r="AE492" s="6"/>
    </row>
    <row r="493" spans="4:31" s="1" customFormat="1" x14ac:dyDescent="0.25">
      <c r="D493" s="5"/>
      <c r="E493" s="2"/>
      <c r="F493" s="2"/>
      <c r="G493" s="2"/>
      <c r="H493" s="2"/>
      <c r="I493" s="2"/>
      <c r="J493" s="7"/>
      <c r="M493" s="2"/>
      <c r="N493" s="2"/>
      <c r="O493" s="7"/>
      <c r="P493" s="2"/>
      <c r="Q493" s="2"/>
      <c r="R493" s="2"/>
      <c r="S493" s="2"/>
      <c r="T493" s="2"/>
      <c r="U493" s="7"/>
      <c r="V493" s="37"/>
      <c r="W493" s="37"/>
      <c r="X493" s="37"/>
      <c r="Y493" s="37"/>
      <c r="Z493" s="37"/>
      <c r="AA493" s="37"/>
      <c r="AB493" s="37"/>
      <c r="AC493" s="37"/>
      <c r="AD493" s="37"/>
      <c r="AE493" s="6"/>
    </row>
    <row r="494" spans="4:31" s="1" customFormat="1" x14ac:dyDescent="0.25">
      <c r="D494" s="5"/>
      <c r="E494" s="2"/>
      <c r="F494" s="2"/>
      <c r="G494" s="2"/>
      <c r="H494" s="2"/>
      <c r="I494" s="2"/>
      <c r="J494" s="7"/>
      <c r="M494" s="2"/>
      <c r="N494" s="2"/>
      <c r="O494" s="7"/>
      <c r="P494" s="2"/>
      <c r="Q494" s="2"/>
      <c r="R494" s="2"/>
      <c r="S494" s="2"/>
      <c r="T494" s="2"/>
      <c r="U494" s="7"/>
      <c r="V494" s="37"/>
      <c r="W494" s="37"/>
      <c r="X494" s="37"/>
      <c r="Y494" s="37"/>
      <c r="Z494" s="37"/>
      <c r="AA494" s="37"/>
      <c r="AB494" s="37"/>
      <c r="AC494" s="37"/>
      <c r="AD494" s="37"/>
      <c r="AE494" s="6"/>
    </row>
    <row r="495" spans="4:31" s="1" customFormat="1" x14ac:dyDescent="0.25">
      <c r="D495" s="5"/>
      <c r="E495" s="2"/>
      <c r="F495" s="2"/>
      <c r="G495" s="2"/>
      <c r="H495" s="2"/>
      <c r="I495" s="2"/>
      <c r="J495" s="7"/>
      <c r="M495" s="2"/>
      <c r="N495" s="2"/>
      <c r="O495" s="7"/>
      <c r="P495" s="2"/>
      <c r="Q495" s="2"/>
      <c r="R495" s="2"/>
      <c r="S495" s="2"/>
      <c r="T495" s="2"/>
      <c r="U495" s="7"/>
      <c r="V495" s="37"/>
      <c r="W495" s="37"/>
      <c r="X495" s="37"/>
      <c r="Y495" s="37"/>
      <c r="Z495" s="37"/>
      <c r="AA495" s="37"/>
      <c r="AB495" s="37"/>
      <c r="AC495" s="37"/>
      <c r="AD495" s="37"/>
      <c r="AE495" s="6"/>
    </row>
    <row r="496" spans="4:31" s="1" customFormat="1" x14ac:dyDescent="0.25">
      <c r="D496" s="5"/>
      <c r="E496" s="2"/>
      <c r="F496" s="2"/>
      <c r="G496" s="2"/>
      <c r="H496" s="2"/>
      <c r="I496" s="2"/>
      <c r="J496" s="7"/>
      <c r="M496" s="2"/>
      <c r="N496" s="2"/>
      <c r="O496" s="7"/>
      <c r="P496" s="2"/>
      <c r="Q496" s="2"/>
      <c r="R496" s="2"/>
      <c r="S496" s="2"/>
      <c r="T496" s="2"/>
      <c r="U496" s="7"/>
      <c r="V496" s="37"/>
      <c r="W496" s="37"/>
      <c r="X496" s="37"/>
      <c r="Y496" s="37"/>
      <c r="Z496" s="37"/>
      <c r="AA496" s="37"/>
      <c r="AB496" s="37"/>
      <c r="AC496" s="37"/>
      <c r="AD496" s="37"/>
      <c r="AE496" s="6"/>
    </row>
    <row r="497" spans="4:31" s="1" customFormat="1" x14ac:dyDescent="0.25">
      <c r="D497" s="5"/>
      <c r="E497" s="2"/>
      <c r="F497" s="2"/>
      <c r="G497" s="2"/>
      <c r="H497" s="2"/>
      <c r="I497" s="2"/>
      <c r="J497" s="7"/>
      <c r="M497" s="2"/>
      <c r="N497" s="2"/>
      <c r="O497" s="7"/>
      <c r="P497" s="2"/>
      <c r="Q497" s="2"/>
      <c r="R497" s="2"/>
      <c r="S497" s="2"/>
      <c r="T497" s="2"/>
      <c r="U497" s="7"/>
      <c r="V497" s="37"/>
      <c r="W497" s="37"/>
      <c r="X497" s="37"/>
      <c r="Y497" s="37"/>
      <c r="Z497" s="37"/>
      <c r="AA497" s="37"/>
      <c r="AB497" s="37"/>
      <c r="AC497" s="37"/>
      <c r="AD497" s="37"/>
      <c r="AE497" s="6"/>
    </row>
    <row r="498" spans="4:31" s="1" customFormat="1" x14ac:dyDescent="0.25">
      <c r="D498" s="5"/>
      <c r="E498" s="2"/>
      <c r="F498" s="2"/>
      <c r="G498" s="2"/>
      <c r="H498" s="2"/>
      <c r="I498" s="2"/>
      <c r="J498" s="7"/>
      <c r="M498" s="2"/>
      <c r="N498" s="2"/>
      <c r="O498" s="7"/>
      <c r="P498" s="2"/>
      <c r="Q498" s="2"/>
      <c r="R498" s="2"/>
      <c r="S498" s="2"/>
      <c r="T498" s="2"/>
      <c r="U498" s="7"/>
      <c r="V498" s="37"/>
      <c r="W498" s="37"/>
      <c r="X498" s="37"/>
      <c r="Y498" s="37"/>
      <c r="Z498" s="37"/>
      <c r="AA498" s="37"/>
      <c r="AB498" s="37"/>
      <c r="AC498" s="37"/>
      <c r="AD498" s="37"/>
      <c r="AE498" s="6"/>
    </row>
    <row r="499" spans="4:31" s="1" customFormat="1" x14ac:dyDescent="0.25">
      <c r="D499" s="5"/>
      <c r="E499" s="2"/>
      <c r="F499" s="2"/>
      <c r="G499" s="2"/>
      <c r="H499" s="2"/>
      <c r="I499" s="2"/>
      <c r="J499" s="7"/>
      <c r="M499" s="2"/>
      <c r="N499" s="2"/>
      <c r="O499" s="7"/>
      <c r="P499" s="2"/>
      <c r="Q499" s="2"/>
      <c r="R499" s="2"/>
      <c r="S499" s="2"/>
      <c r="T499" s="2"/>
      <c r="U499" s="7"/>
      <c r="V499" s="37"/>
      <c r="W499" s="37"/>
      <c r="X499" s="37"/>
      <c r="Y499" s="37"/>
      <c r="Z499" s="37"/>
      <c r="AA499" s="37"/>
      <c r="AB499" s="37"/>
      <c r="AC499" s="37"/>
      <c r="AD499" s="37"/>
      <c r="AE499" s="6"/>
    </row>
    <row r="500" spans="4:31" s="1" customFormat="1" x14ac:dyDescent="0.25">
      <c r="D500" s="5"/>
      <c r="E500" s="2"/>
      <c r="F500" s="2"/>
      <c r="G500" s="2"/>
      <c r="H500" s="2"/>
      <c r="I500" s="2"/>
      <c r="J500" s="7"/>
      <c r="M500" s="2"/>
      <c r="N500" s="2"/>
      <c r="O500" s="7"/>
      <c r="P500" s="2"/>
      <c r="Q500" s="2"/>
      <c r="R500" s="2"/>
      <c r="S500" s="2"/>
      <c r="T500" s="2"/>
      <c r="U500" s="7"/>
      <c r="V500" s="37"/>
      <c r="W500" s="37"/>
      <c r="X500" s="37"/>
      <c r="Y500" s="37"/>
      <c r="Z500" s="37"/>
      <c r="AA500" s="37"/>
      <c r="AB500" s="37"/>
      <c r="AC500" s="37"/>
      <c r="AD500" s="37"/>
      <c r="AE500" s="6"/>
    </row>
    <row r="501" spans="4:31" s="1" customFormat="1" x14ac:dyDescent="0.25">
      <c r="D501" s="5"/>
      <c r="E501" s="2"/>
      <c r="F501" s="2"/>
      <c r="G501" s="2"/>
      <c r="H501" s="2"/>
      <c r="I501" s="2"/>
      <c r="J501" s="7"/>
      <c r="M501" s="2"/>
      <c r="N501" s="2"/>
      <c r="O501" s="7"/>
      <c r="P501" s="2"/>
      <c r="Q501" s="2"/>
      <c r="R501" s="2"/>
      <c r="S501" s="2"/>
      <c r="T501" s="2"/>
      <c r="U501" s="7"/>
      <c r="V501" s="37"/>
      <c r="W501" s="37"/>
      <c r="X501" s="37"/>
      <c r="Y501" s="37"/>
      <c r="Z501" s="37"/>
      <c r="AA501" s="37"/>
      <c r="AB501" s="37"/>
      <c r="AC501" s="37"/>
      <c r="AD501" s="37"/>
      <c r="AE501" s="6"/>
    </row>
    <row r="502" spans="4:31" s="1" customFormat="1" x14ac:dyDescent="0.25">
      <c r="D502" s="5"/>
      <c r="E502" s="2"/>
      <c r="F502" s="2"/>
      <c r="G502" s="2"/>
      <c r="H502" s="2"/>
      <c r="I502" s="2"/>
      <c r="J502" s="7"/>
      <c r="M502" s="2"/>
      <c r="N502" s="2"/>
      <c r="O502" s="7"/>
      <c r="P502" s="2"/>
      <c r="Q502" s="2"/>
      <c r="R502" s="2"/>
      <c r="S502" s="2"/>
      <c r="T502" s="2"/>
      <c r="U502" s="7"/>
      <c r="V502" s="37"/>
      <c r="W502" s="37"/>
      <c r="X502" s="37"/>
      <c r="Y502" s="37"/>
      <c r="Z502" s="37"/>
      <c r="AA502" s="37"/>
      <c r="AB502" s="37"/>
      <c r="AC502" s="37"/>
      <c r="AD502" s="37"/>
      <c r="AE502" s="6"/>
    </row>
    <row r="503" spans="4:31" s="1" customFormat="1" x14ac:dyDescent="0.25">
      <c r="D503" s="5"/>
      <c r="E503" s="2"/>
      <c r="F503" s="2"/>
      <c r="G503" s="2"/>
      <c r="H503" s="2"/>
      <c r="I503" s="2"/>
      <c r="J503" s="7"/>
      <c r="M503" s="2"/>
      <c r="N503" s="2"/>
      <c r="O503" s="7"/>
      <c r="P503" s="2"/>
      <c r="Q503" s="2"/>
      <c r="R503" s="2"/>
      <c r="S503" s="2"/>
      <c r="T503" s="2"/>
      <c r="U503" s="7"/>
      <c r="V503" s="37"/>
      <c r="W503" s="37"/>
      <c r="X503" s="37"/>
      <c r="Y503" s="37"/>
      <c r="Z503" s="37"/>
      <c r="AA503" s="37"/>
      <c r="AB503" s="37"/>
      <c r="AC503" s="37"/>
      <c r="AD503" s="37"/>
      <c r="AE503" s="6"/>
    </row>
    <row r="504" spans="4:31" s="1" customFormat="1" x14ac:dyDescent="0.25">
      <c r="D504" s="5"/>
      <c r="E504" s="2"/>
      <c r="F504" s="2"/>
      <c r="G504" s="2"/>
      <c r="H504" s="2"/>
      <c r="I504" s="2"/>
      <c r="J504" s="7"/>
      <c r="M504" s="2"/>
      <c r="N504" s="2"/>
      <c r="O504" s="7"/>
      <c r="P504" s="2"/>
      <c r="Q504" s="2"/>
      <c r="R504" s="2"/>
      <c r="S504" s="2"/>
      <c r="T504" s="2"/>
      <c r="U504" s="7"/>
      <c r="V504" s="37"/>
      <c r="W504" s="37"/>
      <c r="X504" s="37"/>
      <c r="Y504" s="37"/>
      <c r="Z504" s="37"/>
      <c r="AA504" s="37"/>
      <c r="AB504" s="37"/>
      <c r="AC504" s="37"/>
      <c r="AD504" s="37"/>
      <c r="AE504" s="6"/>
    </row>
    <row r="505" spans="4:31" s="1" customFormat="1" x14ac:dyDescent="0.25">
      <c r="D505" s="5"/>
      <c r="E505" s="2"/>
      <c r="F505" s="2"/>
      <c r="G505" s="2"/>
      <c r="H505" s="2"/>
      <c r="I505" s="2"/>
      <c r="J505" s="7"/>
      <c r="M505" s="2"/>
      <c r="N505" s="2"/>
      <c r="O505" s="7"/>
      <c r="P505" s="2"/>
      <c r="Q505" s="2"/>
      <c r="R505" s="2"/>
      <c r="S505" s="2"/>
      <c r="T505" s="2"/>
      <c r="U505" s="7"/>
      <c r="V505" s="37"/>
      <c r="W505" s="37"/>
      <c r="X505" s="37"/>
      <c r="Y505" s="37"/>
      <c r="Z505" s="37"/>
      <c r="AA505" s="37"/>
      <c r="AB505" s="37"/>
      <c r="AC505" s="37"/>
      <c r="AD505" s="37"/>
      <c r="AE505" s="6"/>
    </row>
    <row r="506" spans="4:31" s="1" customFormat="1" x14ac:dyDescent="0.25">
      <c r="D506" s="5"/>
      <c r="E506" s="2"/>
      <c r="F506" s="2"/>
      <c r="G506" s="2"/>
      <c r="H506" s="2"/>
      <c r="I506" s="2"/>
      <c r="J506" s="7"/>
      <c r="M506" s="2"/>
      <c r="N506" s="2"/>
      <c r="O506" s="7"/>
      <c r="P506" s="2"/>
      <c r="Q506" s="2"/>
      <c r="R506" s="2"/>
      <c r="S506" s="2"/>
      <c r="T506" s="2"/>
      <c r="U506" s="7"/>
      <c r="V506" s="37"/>
      <c r="W506" s="37"/>
      <c r="X506" s="37"/>
      <c r="Y506" s="37"/>
      <c r="Z506" s="37"/>
      <c r="AA506" s="37"/>
      <c r="AB506" s="37"/>
      <c r="AC506" s="37"/>
      <c r="AD506" s="37"/>
      <c r="AE506" s="6"/>
    </row>
    <row r="507" spans="4:31" s="1" customFormat="1" x14ac:dyDescent="0.25">
      <c r="D507" s="5"/>
      <c r="E507" s="2"/>
      <c r="F507" s="2"/>
      <c r="G507" s="2"/>
      <c r="H507" s="2"/>
      <c r="I507" s="2"/>
      <c r="J507" s="7"/>
      <c r="M507" s="2"/>
      <c r="N507" s="2"/>
      <c r="O507" s="7"/>
      <c r="P507" s="2"/>
      <c r="Q507" s="2"/>
      <c r="R507" s="2"/>
      <c r="S507" s="2"/>
      <c r="T507" s="2"/>
      <c r="U507" s="7"/>
      <c r="V507" s="37"/>
      <c r="W507" s="37"/>
      <c r="X507" s="37"/>
      <c r="Y507" s="37"/>
      <c r="Z507" s="37"/>
      <c r="AA507" s="37"/>
      <c r="AB507" s="37"/>
      <c r="AC507" s="37"/>
      <c r="AD507" s="37"/>
      <c r="AE507" s="6"/>
    </row>
    <row r="508" spans="4:31" s="1" customFormat="1" x14ac:dyDescent="0.25">
      <c r="D508" s="5"/>
      <c r="E508" s="2"/>
      <c r="F508" s="2"/>
      <c r="G508" s="2"/>
      <c r="H508" s="2"/>
      <c r="I508" s="2"/>
      <c r="J508" s="7"/>
      <c r="M508" s="2"/>
      <c r="N508" s="2"/>
      <c r="O508" s="7"/>
      <c r="P508" s="2"/>
      <c r="Q508" s="2"/>
      <c r="R508" s="2"/>
      <c r="S508" s="2"/>
      <c r="T508" s="2"/>
      <c r="U508" s="7"/>
      <c r="V508" s="37"/>
      <c r="W508" s="37"/>
      <c r="X508" s="37"/>
      <c r="Y508" s="37"/>
      <c r="Z508" s="37"/>
      <c r="AA508" s="37"/>
      <c r="AB508" s="37"/>
      <c r="AC508" s="37"/>
      <c r="AD508" s="37"/>
      <c r="AE508" s="6"/>
    </row>
    <row r="509" spans="4:31" s="1" customFormat="1" x14ac:dyDescent="0.25">
      <c r="D509" s="5"/>
      <c r="E509" s="2"/>
      <c r="F509" s="2"/>
      <c r="G509" s="2"/>
      <c r="H509" s="2"/>
      <c r="I509" s="2"/>
      <c r="J509" s="7"/>
      <c r="M509" s="2"/>
      <c r="N509" s="2"/>
      <c r="O509" s="7"/>
      <c r="P509" s="2"/>
      <c r="Q509" s="2"/>
      <c r="R509" s="2"/>
      <c r="S509" s="2"/>
      <c r="T509" s="2"/>
      <c r="U509" s="7"/>
      <c r="V509" s="37"/>
      <c r="W509" s="37"/>
      <c r="X509" s="37"/>
      <c r="Y509" s="37"/>
      <c r="Z509" s="37"/>
      <c r="AA509" s="37"/>
      <c r="AB509" s="37"/>
      <c r="AC509" s="37"/>
      <c r="AD509" s="37"/>
      <c r="AE509" s="6"/>
    </row>
    <row r="510" spans="4:31" s="1" customFormat="1" x14ac:dyDescent="0.25">
      <c r="D510" s="5"/>
      <c r="E510" s="2"/>
      <c r="F510" s="2"/>
      <c r="G510" s="2"/>
      <c r="H510" s="2"/>
      <c r="I510" s="2"/>
      <c r="J510" s="7"/>
      <c r="M510" s="2"/>
      <c r="N510" s="2"/>
      <c r="O510" s="7"/>
      <c r="P510" s="2"/>
      <c r="Q510" s="2"/>
      <c r="R510" s="2"/>
      <c r="S510" s="2"/>
      <c r="T510" s="2"/>
      <c r="U510" s="7"/>
      <c r="V510" s="37"/>
      <c r="W510" s="37"/>
      <c r="X510" s="37"/>
      <c r="Y510" s="37"/>
      <c r="Z510" s="37"/>
      <c r="AA510" s="37"/>
      <c r="AB510" s="37"/>
      <c r="AC510" s="37"/>
      <c r="AD510" s="37"/>
      <c r="AE510" s="6"/>
    </row>
    <row r="511" spans="4:31" s="1" customFormat="1" x14ac:dyDescent="0.25">
      <c r="D511" s="5"/>
      <c r="E511" s="2"/>
      <c r="F511" s="2"/>
      <c r="G511" s="2"/>
      <c r="H511" s="2"/>
      <c r="I511" s="2"/>
      <c r="J511" s="7"/>
      <c r="M511" s="2"/>
      <c r="N511" s="2"/>
      <c r="O511" s="7"/>
      <c r="P511" s="2"/>
      <c r="Q511" s="2"/>
      <c r="R511" s="2"/>
      <c r="S511" s="2"/>
      <c r="T511" s="2"/>
      <c r="U511" s="7"/>
      <c r="V511" s="37"/>
      <c r="W511" s="37"/>
      <c r="X511" s="37"/>
      <c r="Y511" s="37"/>
      <c r="Z511" s="37"/>
      <c r="AA511" s="37"/>
      <c r="AB511" s="37"/>
      <c r="AC511" s="37"/>
      <c r="AD511" s="37"/>
      <c r="AE511" s="6"/>
    </row>
    <row r="512" spans="4:31" s="1" customFormat="1" x14ac:dyDescent="0.25">
      <c r="D512" s="5"/>
      <c r="E512" s="2"/>
      <c r="F512" s="2"/>
      <c r="G512" s="2"/>
      <c r="H512" s="2"/>
      <c r="I512" s="2"/>
      <c r="J512" s="7"/>
      <c r="M512" s="2"/>
      <c r="N512" s="2"/>
      <c r="O512" s="7"/>
      <c r="P512" s="2"/>
      <c r="Q512" s="2"/>
      <c r="R512" s="2"/>
      <c r="S512" s="2"/>
      <c r="T512" s="2"/>
      <c r="U512" s="7"/>
      <c r="V512" s="37"/>
      <c r="W512" s="37"/>
      <c r="X512" s="37"/>
      <c r="Y512" s="37"/>
      <c r="Z512" s="37"/>
      <c r="AA512" s="37"/>
      <c r="AB512" s="37"/>
      <c r="AC512" s="37"/>
      <c r="AD512" s="37"/>
      <c r="AE512" s="6"/>
    </row>
    <row r="513" spans="4:31" s="1" customFormat="1" x14ac:dyDescent="0.25">
      <c r="D513" s="5"/>
      <c r="E513" s="2"/>
      <c r="F513" s="2"/>
      <c r="G513" s="2"/>
      <c r="H513" s="2"/>
      <c r="I513" s="2"/>
      <c r="J513" s="7"/>
      <c r="M513" s="2"/>
      <c r="N513" s="2"/>
      <c r="O513" s="7"/>
      <c r="P513" s="2"/>
      <c r="Q513" s="2"/>
      <c r="R513" s="2"/>
      <c r="S513" s="2"/>
      <c r="T513" s="2"/>
      <c r="U513" s="7"/>
      <c r="V513" s="37"/>
      <c r="W513" s="37"/>
      <c r="X513" s="37"/>
      <c r="Y513" s="37"/>
      <c r="Z513" s="37"/>
      <c r="AA513" s="37"/>
      <c r="AB513" s="37"/>
      <c r="AC513" s="37"/>
      <c r="AD513" s="37"/>
      <c r="AE513" s="6"/>
    </row>
    <row r="514" spans="4:31" s="1" customFormat="1" x14ac:dyDescent="0.25">
      <c r="D514" s="5"/>
      <c r="E514" s="2"/>
      <c r="F514" s="2"/>
      <c r="G514" s="2"/>
      <c r="H514" s="2"/>
      <c r="I514" s="2"/>
      <c r="J514" s="7"/>
      <c r="M514" s="2"/>
      <c r="N514" s="2"/>
      <c r="O514" s="7"/>
      <c r="P514" s="2"/>
      <c r="Q514" s="2"/>
      <c r="R514" s="2"/>
      <c r="S514" s="2"/>
      <c r="T514" s="2"/>
      <c r="U514" s="7"/>
      <c r="V514" s="37"/>
      <c r="W514" s="37"/>
      <c r="X514" s="37"/>
      <c r="Y514" s="37"/>
      <c r="Z514" s="37"/>
      <c r="AA514" s="37"/>
      <c r="AB514" s="37"/>
      <c r="AC514" s="37"/>
      <c r="AD514" s="37"/>
      <c r="AE514" s="6"/>
    </row>
    <row r="515" spans="4:31" s="1" customFormat="1" x14ac:dyDescent="0.25">
      <c r="D515" s="5"/>
      <c r="E515" s="2"/>
      <c r="F515" s="2"/>
      <c r="G515" s="2"/>
      <c r="H515" s="2"/>
      <c r="I515" s="2"/>
      <c r="J515" s="7"/>
      <c r="M515" s="2"/>
      <c r="N515" s="2"/>
      <c r="O515" s="7"/>
      <c r="P515" s="2"/>
      <c r="Q515" s="2"/>
      <c r="R515" s="2"/>
      <c r="S515" s="2"/>
      <c r="T515" s="2"/>
      <c r="U515" s="7"/>
      <c r="V515" s="37"/>
      <c r="W515" s="37"/>
      <c r="X515" s="37"/>
      <c r="Y515" s="37"/>
      <c r="Z515" s="37"/>
      <c r="AA515" s="37"/>
      <c r="AB515" s="37"/>
      <c r="AC515" s="37"/>
      <c r="AD515" s="37"/>
      <c r="AE515" s="6"/>
    </row>
    <row r="516" spans="4:31" s="1" customFormat="1" x14ac:dyDescent="0.25">
      <c r="D516" s="5"/>
      <c r="E516" s="2"/>
      <c r="F516" s="2"/>
      <c r="G516" s="2"/>
      <c r="H516" s="2"/>
      <c r="I516" s="2"/>
      <c r="J516" s="7"/>
      <c r="M516" s="2"/>
      <c r="N516" s="2"/>
      <c r="O516" s="7"/>
      <c r="P516" s="2"/>
      <c r="Q516" s="2"/>
      <c r="R516" s="2"/>
      <c r="S516" s="2"/>
      <c r="T516" s="2"/>
      <c r="U516" s="7"/>
      <c r="V516" s="37"/>
      <c r="W516" s="37"/>
      <c r="X516" s="37"/>
      <c r="Y516" s="37"/>
      <c r="Z516" s="37"/>
      <c r="AA516" s="37"/>
      <c r="AB516" s="37"/>
      <c r="AC516" s="37"/>
      <c r="AD516" s="37"/>
      <c r="AE516" s="6"/>
    </row>
    <row r="517" spans="4:31" s="1" customFormat="1" x14ac:dyDescent="0.25">
      <c r="D517" s="5"/>
      <c r="E517" s="2"/>
      <c r="F517" s="2"/>
      <c r="G517" s="2"/>
      <c r="H517" s="2"/>
      <c r="I517" s="2"/>
      <c r="J517" s="7"/>
      <c r="M517" s="2"/>
      <c r="N517" s="2"/>
      <c r="O517" s="7"/>
      <c r="P517" s="2"/>
      <c r="Q517" s="2"/>
      <c r="R517" s="2"/>
      <c r="S517" s="2"/>
      <c r="T517" s="2"/>
      <c r="U517" s="7"/>
      <c r="V517" s="37"/>
      <c r="W517" s="37"/>
      <c r="X517" s="37"/>
      <c r="Y517" s="37"/>
      <c r="Z517" s="37"/>
      <c r="AA517" s="37"/>
      <c r="AB517" s="37"/>
      <c r="AC517" s="37"/>
      <c r="AD517" s="37"/>
      <c r="AE517" s="6"/>
    </row>
    <row r="518" spans="4:31" s="1" customFormat="1" x14ac:dyDescent="0.25">
      <c r="D518" s="5"/>
      <c r="E518" s="2"/>
      <c r="F518" s="2"/>
      <c r="G518" s="2"/>
      <c r="H518" s="2"/>
      <c r="I518" s="2"/>
      <c r="J518" s="7"/>
      <c r="M518" s="2"/>
      <c r="N518" s="2"/>
      <c r="O518" s="7"/>
      <c r="P518" s="2"/>
      <c r="Q518" s="2"/>
      <c r="R518" s="2"/>
      <c r="S518" s="2"/>
      <c r="T518" s="2"/>
      <c r="U518" s="7"/>
      <c r="V518" s="37"/>
      <c r="W518" s="37"/>
      <c r="X518" s="37"/>
      <c r="Y518" s="37"/>
      <c r="Z518" s="37"/>
      <c r="AA518" s="37"/>
      <c r="AB518" s="37"/>
      <c r="AC518" s="37"/>
      <c r="AD518" s="37"/>
      <c r="AE518" s="6"/>
    </row>
    <row r="519" spans="4:31" s="1" customFormat="1" x14ac:dyDescent="0.25">
      <c r="D519" s="5"/>
      <c r="E519" s="2"/>
      <c r="F519" s="2"/>
      <c r="G519" s="2"/>
      <c r="H519" s="2"/>
      <c r="I519" s="2"/>
      <c r="J519" s="7"/>
      <c r="M519" s="2"/>
      <c r="N519" s="2"/>
      <c r="O519" s="7"/>
      <c r="P519" s="2"/>
      <c r="Q519" s="2"/>
      <c r="R519" s="2"/>
      <c r="S519" s="2"/>
      <c r="T519" s="2"/>
      <c r="U519" s="7"/>
      <c r="V519" s="37"/>
      <c r="W519" s="37"/>
      <c r="X519" s="37"/>
      <c r="Y519" s="37"/>
      <c r="Z519" s="37"/>
      <c r="AA519" s="37"/>
      <c r="AB519" s="37"/>
      <c r="AC519" s="37"/>
      <c r="AD519" s="37"/>
      <c r="AE519" s="6"/>
    </row>
    <row r="520" spans="4:31" s="1" customFormat="1" x14ac:dyDescent="0.25">
      <c r="D520" s="5"/>
      <c r="E520" s="2"/>
      <c r="F520" s="2"/>
      <c r="G520" s="2"/>
      <c r="H520" s="2"/>
      <c r="I520" s="2"/>
      <c r="J520" s="7"/>
      <c r="M520" s="2"/>
      <c r="N520" s="2"/>
      <c r="O520" s="7"/>
      <c r="P520" s="2"/>
      <c r="Q520" s="2"/>
      <c r="R520" s="2"/>
      <c r="S520" s="2"/>
      <c r="T520" s="2"/>
      <c r="U520" s="7"/>
      <c r="V520" s="37"/>
      <c r="W520" s="37"/>
      <c r="X520" s="37"/>
      <c r="Y520" s="37"/>
      <c r="Z520" s="37"/>
      <c r="AA520" s="37"/>
      <c r="AB520" s="37"/>
      <c r="AC520" s="37"/>
      <c r="AD520" s="37"/>
      <c r="AE520" s="6"/>
    </row>
    <row r="521" spans="4:31" s="1" customFormat="1" x14ac:dyDescent="0.25">
      <c r="D521" s="5"/>
      <c r="E521" s="2"/>
      <c r="F521" s="2"/>
      <c r="G521" s="2"/>
      <c r="H521" s="2"/>
      <c r="I521" s="2"/>
      <c r="J521" s="7"/>
      <c r="M521" s="2"/>
      <c r="N521" s="2"/>
      <c r="O521" s="7"/>
      <c r="P521" s="2"/>
      <c r="Q521" s="2"/>
      <c r="R521" s="2"/>
      <c r="S521" s="2"/>
      <c r="T521" s="2"/>
      <c r="U521" s="7"/>
      <c r="V521" s="37"/>
      <c r="W521" s="37"/>
      <c r="X521" s="37"/>
      <c r="Y521" s="37"/>
      <c r="Z521" s="37"/>
      <c r="AA521" s="37"/>
      <c r="AB521" s="37"/>
      <c r="AC521" s="37"/>
      <c r="AD521" s="37"/>
      <c r="AE521" s="6"/>
    </row>
    <row r="522" spans="4:31" s="1" customFormat="1" x14ac:dyDescent="0.25">
      <c r="D522" s="5"/>
      <c r="E522" s="2"/>
      <c r="F522" s="2"/>
      <c r="G522" s="2"/>
      <c r="H522" s="2"/>
      <c r="I522" s="2"/>
      <c r="J522" s="7"/>
      <c r="M522" s="2"/>
      <c r="N522" s="2"/>
      <c r="O522" s="7"/>
      <c r="P522" s="2"/>
      <c r="Q522" s="2"/>
      <c r="R522" s="2"/>
      <c r="S522" s="2"/>
      <c r="T522" s="2"/>
      <c r="U522" s="7"/>
      <c r="V522" s="37"/>
      <c r="W522" s="37"/>
      <c r="X522" s="37"/>
      <c r="Y522" s="37"/>
      <c r="Z522" s="37"/>
      <c r="AA522" s="37"/>
      <c r="AB522" s="37"/>
      <c r="AC522" s="37"/>
      <c r="AD522" s="37"/>
      <c r="AE522" s="6"/>
    </row>
    <row r="523" spans="4:31" s="1" customFormat="1" x14ac:dyDescent="0.25">
      <c r="D523" s="5"/>
      <c r="E523" s="2"/>
      <c r="F523" s="2"/>
      <c r="G523" s="2"/>
      <c r="H523" s="2"/>
      <c r="I523" s="2"/>
      <c r="J523" s="7"/>
      <c r="M523" s="2"/>
      <c r="N523" s="2"/>
      <c r="O523" s="7"/>
      <c r="P523" s="2"/>
      <c r="Q523" s="2"/>
      <c r="R523" s="2"/>
      <c r="S523" s="2"/>
      <c r="T523" s="2"/>
      <c r="U523" s="7"/>
      <c r="V523" s="37"/>
      <c r="W523" s="37"/>
      <c r="X523" s="37"/>
      <c r="Y523" s="37"/>
      <c r="Z523" s="37"/>
      <c r="AA523" s="37"/>
      <c r="AB523" s="37"/>
      <c r="AC523" s="37"/>
      <c r="AD523" s="37"/>
      <c r="AE523" s="6"/>
    </row>
    <row r="524" spans="4:31" s="1" customFormat="1" x14ac:dyDescent="0.25">
      <c r="D524" s="5"/>
      <c r="E524" s="2"/>
      <c r="F524" s="2"/>
      <c r="G524" s="2"/>
      <c r="H524" s="2"/>
      <c r="I524" s="2"/>
      <c r="J524" s="7"/>
      <c r="M524" s="2"/>
      <c r="N524" s="2"/>
      <c r="O524" s="7"/>
      <c r="P524" s="2"/>
      <c r="Q524" s="2"/>
      <c r="R524" s="2"/>
      <c r="S524" s="2"/>
      <c r="T524" s="2"/>
      <c r="U524" s="7"/>
      <c r="V524" s="37"/>
      <c r="W524" s="37"/>
      <c r="X524" s="37"/>
      <c r="Y524" s="37"/>
      <c r="Z524" s="37"/>
      <c r="AA524" s="37"/>
      <c r="AB524" s="37"/>
      <c r="AC524" s="37"/>
      <c r="AD524" s="37"/>
      <c r="AE524" s="6"/>
    </row>
    <row r="525" spans="4:31" s="1" customFormat="1" x14ac:dyDescent="0.25">
      <c r="D525" s="5"/>
      <c r="E525" s="2"/>
      <c r="F525" s="2"/>
      <c r="G525" s="2"/>
      <c r="H525" s="2"/>
      <c r="I525" s="2"/>
      <c r="J525" s="7"/>
      <c r="M525" s="2"/>
      <c r="N525" s="2"/>
      <c r="O525" s="7"/>
      <c r="P525" s="2"/>
      <c r="Q525" s="2"/>
      <c r="R525" s="2"/>
      <c r="S525" s="2"/>
      <c r="T525" s="2"/>
      <c r="U525" s="7"/>
      <c r="V525" s="37"/>
      <c r="W525" s="37"/>
      <c r="X525" s="37"/>
      <c r="Y525" s="37"/>
      <c r="Z525" s="37"/>
      <c r="AA525" s="37"/>
      <c r="AB525" s="37"/>
      <c r="AC525" s="37"/>
      <c r="AD525" s="37"/>
      <c r="AE525" s="6"/>
    </row>
    <row r="526" spans="4:31" s="1" customFormat="1" x14ac:dyDescent="0.25">
      <c r="D526" s="5"/>
      <c r="E526" s="2"/>
      <c r="F526" s="2"/>
      <c r="G526" s="2"/>
      <c r="H526" s="2"/>
      <c r="I526" s="2"/>
      <c r="J526" s="7"/>
      <c r="M526" s="2"/>
      <c r="N526" s="2"/>
      <c r="O526" s="7"/>
      <c r="P526" s="2"/>
      <c r="Q526" s="2"/>
      <c r="R526" s="2"/>
      <c r="S526" s="2"/>
      <c r="T526" s="2"/>
      <c r="U526" s="7"/>
      <c r="V526" s="37"/>
      <c r="W526" s="37"/>
      <c r="X526" s="37"/>
      <c r="Y526" s="37"/>
      <c r="Z526" s="37"/>
      <c r="AA526" s="37"/>
      <c r="AB526" s="37"/>
      <c r="AC526" s="37"/>
      <c r="AD526" s="37"/>
      <c r="AE526" s="6"/>
    </row>
    <row r="527" spans="4:31" s="1" customFormat="1" x14ac:dyDescent="0.25">
      <c r="D527" s="5"/>
      <c r="E527" s="2"/>
      <c r="F527" s="2"/>
      <c r="G527" s="2"/>
      <c r="H527" s="2"/>
      <c r="I527" s="2"/>
      <c r="J527" s="7"/>
      <c r="M527" s="2"/>
      <c r="N527" s="2"/>
      <c r="O527" s="7"/>
      <c r="P527" s="2"/>
      <c r="Q527" s="2"/>
      <c r="R527" s="2"/>
      <c r="S527" s="2"/>
      <c r="T527" s="2"/>
      <c r="U527" s="7"/>
      <c r="V527" s="37"/>
      <c r="W527" s="37"/>
      <c r="X527" s="37"/>
      <c r="Y527" s="37"/>
      <c r="Z527" s="37"/>
      <c r="AA527" s="37"/>
      <c r="AB527" s="37"/>
      <c r="AC527" s="37"/>
      <c r="AD527" s="37"/>
      <c r="AE527" s="6"/>
    </row>
    <row r="528" spans="4:31" s="1" customFormat="1" x14ac:dyDescent="0.25">
      <c r="D528" s="5"/>
      <c r="E528" s="2"/>
      <c r="F528" s="2"/>
      <c r="G528" s="2"/>
      <c r="H528" s="2"/>
      <c r="I528" s="2"/>
      <c r="J528" s="7"/>
      <c r="M528" s="2"/>
      <c r="N528" s="2"/>
      <c r="O528" s="7"/>
      <c r="P528" s="2"/>
      <c r="Q528" s="2"/>
      <c r="R528" s="2"/>
      <c r="S528" s="2"/>
      <c r="T528" s="2"/>
      <c r="U528" s="7"/>
      <c r="V528" s="37"/>
      <c r="W528" s="37"/>
      <c r="X528" s="37"/>
      <c r="Y528" s="37"/>
      <c r="Z528" s="37"/>
      <c r="AA528" s="37"/>
      <c r="AB528" s="37"/>
      <c r="AC528" s="37"/>
      <c r="AD528" s="37"/>
      <c r="AE528" s="6"/>
    </row>
    <row r="529" spans="4:31" s="1" customFormat="1" x14ac:dyDescent="0.25">
      <c r="D529" s="5"/>
      <c r="E529" s="2"/>
      <c r="F529" s="2"/>
      <c r="G529" s="2"/>
      <c r="H529" s="2"/>
      <c r="I529" s="2"/>
      <c r="J529" s="7"/>
      <c r="M529" s="2"/>
      <c r="N529" s="2"/>
      <c r="O529" s="7"/>
      <c r="P529" s="2"/>
      <c r="Q529" s="2"/>
      <c r="R529" s="2"/>
      <c r="S529" s="2"/>
      <c r="T529" s="2"/>
      <c r="U529" s="7"/>
      <c r="V529" s="37"/>
      <c r="W529" s="37"/>
      <c r="X529" s="37"/>
      <c r="Y529" s="37"/>
      <c r="Z529" s="37"/>
      <c r="AA529" s="37"/>
      <c r="AB529" s="37"/>
      <c r="AC529" s="37"/>
      <c r="AD529" s="37"/>
      <c r="AE529" s="6"/>
    </row>
    <row r="530" spans="4:31" s="1" customFormat="1" x14ac:dyDescent="0.25">
      <c r="D530" s="5"/>
      <c r="E530" s="2"/>
      <c r="F530" s="2"/>
      <c r="G530" s="2"/>
      <c r="H530" s="2"/>
      <c r="I530" s="2"/>
      <c r="J530" s="7"/>
      <c r="M530" s="2"/>
      <c r="N530" s="2"/>
      <c r="O530" s="7"/>
      <c r="P530" s="2"/>
      <c r="Q530" s="2"/>
      <c r="R530" s="2"/>
      <c r="S530" s="2"/>
      <c r="T530" s="2"/>
      <c r="U530" s="7"/>
      <c r="V530" s="37"/>
      <c r="W530" s="37"/>
      <c r="X530" s="37"/>
      <c r="Y530" s="37"/>
      <c r="Z530" s="37"/>
      <c r="AA530" s="37"/>
      <c r="AB530" s="37"/>
      <c r="AC530" s="37"/>
      <c r="AD530" s="37"/>
      <c r="AE530" s="6"/>
    </row>
    <row r="531" spans="4:31" s="1" customFormat="1" x14ac:dyDescent="0.25">
      <c r="D531" s="5"/>
      <c r="E531" s="2"/>
      <c r="F531" s="2"/>
      <c r="G531" s="2"/>
      <c r="H531" s="2"/>
      <c r="I531" s="2"/>
      <c r="J531" s="7"/>
      <c r="M531" s="2"/>
      <c r="N531" s="2"/>
      <c r="O531" s="7"/>
      <c r="P531" s="2"/>
      <c r="Q531" s="2"/>
      <c r="R531" s="2"/>
      <c r="S531" s="2"/>
      <c r="T531" s="2"/>
      <c r="U531" s="7"/>
      <c r="V531" s="37"/>
      <c r="W531" s="37"/>
      <c r="X531" s="37"/>
      <c r="Y531" s="37"/>
      <c r="Z531" s="37"/>
      <c r="AA531" s="37"/>
      <c r="AB531" s="37"/>
      <c r="AC531" s="37"/>
      <c r="AD531" s="37"/>
      <c r="AE531" s="6"/>
    </row>
    <row r="532" spans="4:31" s="1" customFormat="1" x14ac:dyDescent="0.25">
      <c r="D532" s="5"/>
      <c r="E532" s="2"/>
      <c r="F532" s="2"/>
      <c r="G532" s="2"/>
      <c r="H532" s="2"/>
      <c r="I532" s="2"/>
      <c r="J532" s="7"/>
      <c r="M532" s="2"/>
      <c r="N532" s="2"/>
      <c r="O532" s="7"/>
      <c r="P532" s="2"/>
      <c r="Q532" s="2"/>
      <c r="R532" s="2"/>
      <c r="S532" s="2"/>
      <c r="T532" s="2"/>
      <c r="U532" s="7"/>
      <c r="V532" s="37"/>
      <c r="W532" s="37"/>
      <c r="X532" s="37"/>
      <c r="Y532" s="37"/>
      <c r="Z532" s="37"/>
      <c r="AA532" s="37"/>
      <c r="AB532" s="37"/>
      <c r="AC532" s="37"/>
      <c r="AD532" s="37"/>
      <c r="AE532" s="6"/>
    </row>
    <row r="533" spans="4:31" s="1" customFormat="1" x14ac:dyDescent="0.25">
      <c r="D533" s="5"/>
      <c r="E533" s="2"/>
      <c r="F533" s="2"/>
      <c r="G533" s="2"/>
      <c r="H533" s="2"/>
      <c r="I533" s="2"/>
      <c r="J533" s="7"/>
      <c r="M533" s="2"/>
      <c r="N533" s="2"/>
      <c r="O533" s="7"/>
      <c r="P533" s="2"/>
      <c r="Q533" s="2"/>
      <c r="R533" s="2"/>
      <c r="S533" s="2"/>
      <c r="T533" s="2"/>
      <c r="U533" s="7"/>
      <c r="V533" s="37"/>
      <c r="W533" s="37"/>
      <c r="X533" s="37"/>
      <c r="Y533" s="37"/>
      <c r="Z533" s="37"/>
      <c r="AA533" s="37"/>
      <c r="AB533" s="37"/>
      <c r="AC533" s="37"/>
      <c r="AD533" s="37"/>
      <c r="AE533" s="6"/>
    </row>
    <row r="534" spans="4:31" s="1" customFormat="1" x14ac:dyDescent="0.25">
      <c r="D534" s="5"/>
      <c r="E534" s="2"/>
      <c r="F534" s="2"/>
      <c r="G534" s="2"/>
      <c r="H534" s="2"/>
      <c r="I534" s="2"/>
      <c r="J534" s="7"/>
      <c r="M534" s="2"/>
      <c r="N534" s="2"/>
      <c r="O534" s="7"/>
      <c r="P534" s="2"/>
      <c r="Q534" s="2"/>
      <c r="R534" s="2"/>
      <c r="S534" s="2"/>
      <c r="T534" s="2"/>
      <c r="U534" s="7"/>
      <c r="V534" s="37"/>
      <c r="W534" s="37"/>
      <c r="X534" s="37"/>
      <c r="Y534" s="37"/>
      <c r="Z534" s="37"/>
      <c r="AA534" s="37"/>
      <c r="AB534" s="37"/>
      <c r="AC534" s="37"/>
      <c r="AD534" s="37"/>
      <c r="AE534" s="6"/>
    </row>
    <row r="535" spans="4:31" s="1" customFormat="1" x14ac:dyDescent="0.25">
      <c r="D535" s="5"/>
      <c r="E535" s="2"/>
      <c r="F535" s="2"/>
      <c r="G535" s="2"/>
      <c r="H535" s="2"/>
      <c r="I535" s="2"/>
      <c r="J535" s="7"/>
      <c r="M535" s="2"/>
      <c r="N535" s="2"/>
      <c r="O535" s="7"/>
      <c r="P535" s="2"/>
      <c r="Q535" s="2"/>
      <c r="R535" s="2"/>
      <c r="S535" s="2"/>
      <c r="T535" s="2"/>
      <c r="U535" s="7"/>
      <c r="V535" s="37"/>
      <c r="W535" s="37"/>
      <c r="X535" s="37"/>
      <c r="Y535" s="37"/>
      <c r="Z535" s="37"/>
      <c r="AA535" s="37"/>
      <c r="AB535" s="37"/>
      <c r="AC535" s="37"/>
      <c r="AD535" s="37"/>
      <c r="AE535" s="6"/>
    </row>
    <row r="536" spans="4:31" s="1" customFormat="1" x14ac:dyDescent="0.25">
      <c r="D536" s="5"/>
      <c r="E536" s="2"/>
      <c r="F536" s="2"/>
      <c r="G536" s="2"/>
      <c r="H536" s="2"/>
      <c r="I536" s="2"/>
      <c r="J536" s="7"/>
      <c r="M536" s="2"/>
      <c r="N536" s="2"/>
      <c r="O536" s="7"/>
      <c r="P536" s="2"/>
      <c r="Q536" s="2"/>
      <c r="R536" s="2"/>
      <c r="S536" s="2"/>
      <c r="T536" s="2"/>
      <c r="U536" s="7"/>
      <c r="V536" s="37"/>
      <c r="W536" s="37"/>
      <c r="X536" s="37"/>
      <c r="Y536" s="37"/>
      <c r="Z536" s="37"/>
      <c r="AA536" s="37"/>
      <c r="AB536" s="37"/>
      <c r="AC536" s="37"/>
      <c r="AD536" s="37"/>
      <c r="AE536" s="6"/>
    </row>
    <row r="537" spans="4:31" s="1" customFormat="1" x14ac:dyDescent="0.25">
      <c r="D537" s="5"/>
      <c r="E537" s="2"/>
      <c r="F537" s="2"/>
      <c r="G537" s="2"/>
      <c r="H537" s="2"/>
      <c r="I537" s="2"/>
      <c r="J537" s="7"/>
      <c r="M537" s="2"/>
      <c r="N537" s="2"/>
      <c r="O537" s="7"/>
      <c r="P537" s="2"/>
      <c r="Q537" s="2"/>
      <c r="R537" s="2"/>
      <c r="S537" s="2"/>
      <c r="T537" s="2"/>
      <c r="U537" s="7"/>
      <c r="V537" s="37"/>
      <c r="W537" s="37"/>
      <c r="X537" s="37"/>
      <c r="Y537" s="37"/>
      <c r="Z537" s="37"/>
      <c r="AA537" s="37"/>
      <c r="AB537" s="37"/>
      <c r="AC537" s="37"/>
      <c r="AD537" s="37"/>
      <c r="AE537" s="6"/>
    </row>
    <row r="538" spans="4:31" s="1" customFormat="1" x14ac:dyDescent="0.25">
      <c r="D538" s="5"/>
      <c r="E538" s="2"/>
      <c r="F538" s="2"/>
      <c r="G538" s="2"/>
      <c r="H538" s="2"/>
      <c r="I538" s="2"/>
      <c r="J538" s="7"/>
      <c r="M538" s="2"/>
      <c r="N538" s="2"/>
      <c r="O538" s="7"/>
      <c r="P538" s="2"/>
      <c r="Q538" s="2"/>
      <c r="R538" s="2"/>
      <c r="S538" s="2"/>
      <c r="T538" s="2"/>
      <c r="U538" s="7"/>
      <c r="V538" s="37"/>
      <c r="W538" s="37"/>
      <c r="X538" s="37"/>
      <c r="Y538" s="37"/>
      <c r="Z538" s="37"/>
      <c r="AA538" s="37"/>
      <c r="AB538" s="37"/>
      <c r="AC538" s="37"/>
      <c r="AD538" s="37"/>
      <c r="AE538" s="6"/>
    </row>
    <row r="539" spans="4:31" s="1" customFormat="1" x14ac:dyDescent="0.25">
      <c r="D539" s="5"/>
      <c r="E539" s="2"/>
      <c r="F539" s="2"/>
      <c r="G539" s="2"/>
      <c r="H539" s="2"/>
      <c r="I539" s="2"/>
      <c r="J539" s="7"/>
      <c r="M539" s="2"/>
      <c r="N539" s="2"/>
      <c r="O539" s="7"/>
      <c r="P539" s="2"/>
      <c r="Q539" s="2"/>
      <c r="R539" s="2"/>
      <c r="S539" s="2"/>
      <c r="T539" s="2"/>
      <c r="U539" s="7"/>
      <c r="V539" s="37"/>
      <c r="W539" s="37"/>
      <c r="X539" s="37"/>
      <c r="Y539" s="37"/>
      <c r="Z539" s="37"/>
      <c r="AA539" s="37"/>
      <c r="AB539" s="37"/>
      <c r="AC539" s="37"/>
      <c r="AD539" s="37"/>
      <c r="AE539" s="6"/>
    </row>
    <row r="540" spans="4:31" s="1" customFormat="1" x14ac:dyDescent="0.25">
      <c r="D540" s="5"/>
      <c r="E540" s="2"/>
      <c r="F540" s="2"/>
      <c r="G540" s="2"/>
      <c r="H540" s="2"/>
      <c r="I540" s="2"/>
      <c r="J540" s="7"/>
      <c r="M540" s="2"/>
      <c r="N540" s="2"/>
      <c r="O540" s="7"/>
      <c r="P540" s="2"/>
      <c r="Q540" s="2"/>
      <c r="R540" s="2"/>
      <c r="S540" s="2"/>
      <c r="T540" s="2"/>
      <c r="U540" s="7"/>
      <c r="V540" s="37"/>
      <c r="W540" s="37"/>
      <c r="X540" s="37"/>
      <c r="Y540" s="37"/>
      <c r="Z540" s="37"/>
      <c r="AA540" s="37"/>
      <c r="AB540" s="37"/>
      <c r="AC540" s="37"/>
      <c r="AD540" s="37"/>
      <c r="AE540" s="6"/>
    </row>
    <row r="541" spans="4:31" s="1" customFormat="1" x14ac:dyDescent="0.25">
      <c r="D541" s="5"/>
      <c r="E541" s="2"/>
      <c r="F541" s="2"/>
      <c r="G541" s="2"/>
      <c r="H541" s="2"/>
      <c r="I541" s="2"/>
      <c r="J541" s="7"/>
      <c r="M541" s="2"/>
      <c r="N541" s="2"/>
      <c r="O541" s="7"/>
      <c r="P541" s="2"/>
      <c r="Q541" s="2"/>
      <c r="R541" s="2"/>
      <c r="S541" s="2"/>
      <c r="T541" s="2"/>
      <c r="U541" s="7"/>
      <c r="V541" s="37"/>
      <c r="W541" s="37"/>
      <c r="X541" s="37"/>
      <c r="Y541" s="37"/>
      <c r="Z541" s="37"/>
      <c r="AA541" s="37"/>
      <c r="AB541" s="37"/>
      <c r="AC541" s="37"/>
      <c r="AD541" s="37"/>
      <c r="AE541" s="6"/>
    </row>
    <row r="542" spans="4:31" s="1" customFormat="1" x14ac:dyDescent="0.25">
      <c r="D542" s="5"/>
      <c r="E542" s="2"/>
      <c r="F542" s="2"/>
      <c r="G542" s="2"/>
      <c r="H542" s="2"/>
      <c r="I542" s="2"/>
      <c r="J542" s="7"/>
      <c r="M542" s="2"/>
      <c r="N542" s="2"/>
      <c r="O542" s="7"/>
      <c r="P542" s="2"/>
      <c r="Q542" s="2"/>
      <c r="R542" s="2"/>
      <c r="S542" s="2"/>
      <c r="T542" s="2"/>
      <c r="U542" s="7"/>
      <c r="V542" s="37"/>
      <c r="W542" s="37"/>
      <c r="X542" s="37"/>
      <c r="Y542" s="37"/>
      <c r="Z542" s="37"/>
      <c r="AA542" s="37"/>
      <c r="AB542" s="37"/>
      <c r="AC542" s="37"/>
      <c r="AD542" s="37"/>
      <c r="AE542" s="6"/>
    </row>
    <row r="543" spans="4:31" s="1" customFormat="1" x14ac:dyDescent="0.25">
      <c r="D543" s="5"/>
      <c r="E543" s="2"/>
      <c r="F543" s="2"/>
      <c r="G543" s="2"/>
      <c r="H543" s="2"/>
      <c r="I543" s="2"/>
      <c r="J543" s="7"/>
      <c r="M543" s="2"/>
      <c r="N543" s="2"/>
      <c r="O543" s="7"/>
      <c r="P543" s="2"/>
      <c r="Q543" s="2"/>
      <c r="R543" s="2"/>
      <c r="S543" s="2"/>
      <c r="T543" s="2"/>
      <c r="U543" s="7"/>
      <c r="V543" s="37"/>
      <c r="W543" s="37"/>
      <c r="X543" s="37"/>
      <c r="Y543" s="37"/>
      <c r="Z543" s="37"/>
      <c r="AA543" s="37"/>
      <c r="AB543" s="37"/>
      <c r="AC543" s="37"/>
      <c r="AD543" s="37"/>
      <c r="AE543" s="6"/>
    </row>
    <row r="544" spans="4:31" s="1" customFormat="1" x14ac:dyDescent="0.25">
      <c r="D544" s="5"/>
      <c r="E544" s="2"/>
      <c r="F544" s="2"/>
      <c r="G544" s="2"/>
      <c r="H544" s="2"/>
      <c r="I544" s="2"/>
      <c r="J544" s="7"/>
      <c r="M544" s="2"/>
      <c r="N544" s="2"/>
      <c r="O544" s="7"/>
      <c r="P544" s="2"/>
      <c r="Q544" s="2"/>
      <c r="R544" s="2"/>
      <c r="S544" s="2"/>
      <c r="T544" s="2"/>
      <c r="U544" s="7"/>
      <c r="V544" s="37"/>
      <c r="W544" s="37"/>
      <c r="X544" s="37"/>
      <c r="Y544" s="37"/>
      <c r="Z544" s="37"/>
      <c r="AA544" s="37"/>
      <c r="AB544" s="37"/>
      <c r="AC544" s="37"/>
      <c r="AD544" s="37"/>
      <c r="AE544" s="6"/>
    </row>
    <row r="545" spans="4:31" s="1" customFormat="1" x14ac:dyDescent="0.25">
      <c r="D545" s="5"/>
      <c r="E545" s="2"/>
      <c r="F545" s="2"/>
      <c r="G545" s="2"/>
      <c r="H545" s="2"/>
      <c r="I545" s="2"/>
      <c r="J545" s="7"/>
      <c r="M545" s="2"/>
      <c r="N545" s="2"/>
      <c r="O545" s="7"/>
      <c r="P545" s="2"/>
      <c r="Q545" s="2"/>
      <c r="R545" s="2"/>
      <c r="S545" s="2"/>
      <c r="T545" s="2"/>
      <c r="U545" s="7"/>
      <c r="V545" s="37"/>
      <c r="W545" s="37"/>
      <c r="X545" s="37"/>
      <c r="Y545" s="37"/>
      <c r="Z545" s="37"/>
      <c r="AA545" s="37"/>
      <c r="AB545" s="37"/>
      <c r="AC545" s="37"/>
      <c r="AD545" s="37"/>
      <c r="AE545" s="6"/>
    </row>
    <row r="546" spans="4:31" s="1" customFormat="1" x14ac:dyDescent="0.25">
      <c r="D546" s="5"/>
      <c r="E546" s="2"/>
      <c r="F546" s="2"/>
      <c r="G546" s="2"/>
      <c r="H546" s="2"/>
      <c r="I546" s="2"/>
      <c r="J546" s="7"/>
      <c r="M546" s="2"/>
      <c r="N546" s="2"/>
      <c r="O546" s="7"/>
      <c r="P546" s="2"/>
      <c r="Q546" s="2"/>
      <c r="R546" s="2"/>
      <c r="S546" s="2"/>
      <c r="T546" s="2"/>
      <c r="U546" s="7"/>
      <c r="V546" s="37"/>
      <c r="W546" s="37"/>
      <c r="X546" s="37"/>
      <c r="Y546" s="37"/>
      <c r="Z546" s="37"/>
      <c r="AA546" s="37"/>
      <c r="AB546" s="37"/>
      <c r="AC546" s="37"/>
      <c r="AD546" s="37"/>
      <c r="AE546" s="6"/>
    </row>
    <row r="547" spans="4:31" s="1" customFormat="1" x14ac:dyDescent="0.25">
      <c r="D547" s="5"/>
      <c r="E547" s="2"/>
      <c r="F547" s="2"/>
      <c r="G547" s="2"/>
      <c r="H547" s="2"/>
      <c r="I547" s="2"/>
      <c r="J547" s="7"/>
      <c r="M547" s="2"/>
      <c r="N547" s="2"/>
      <c r="O547" s="7"/>
      <c r="P547" s="2"/>
      <c r="Q547" s="2"/>
      <c r="R547" s="2"/>
      <c r="S547" s="2"/>
      <c r="T547" s="2"/>
      <c r="U547" s="7"/>
      <c r="V547" s="37"/>
      <c r="W547" s="37"/>
      <c r="X547" s="37"/>
      <c r="Y547" s="37"/>
      <c r="Z547" s="37"/>
      <c r="AA547" s="37"/>
      <c r="AB547" s="37"/>
      <c r="AC547" s="37"/>
      <c r="AD547" s="37"/>
      <c r="AE547" s="6"/>
    </row>
    <row r="548" spans="4:31" s="1" customFormat="1" x14ac:dyDescent="0.25">
      <c r="D548" s="5"/>
      <c r="E548" s="2"/>
      <c r="F548" s="2"/>
      <c r="G548" s="2"/>
      <c r="H548" s="2"/>
      <c r="I548" s="2"/>
      <c r="J548" s="7"/>
      <c r="M548" s="2"/>
      <c r="N548" s="2"/>
      <c r="O548" s="7"/>
      <c r="P548" s="2"/>
      <c r="Q548" s="2"/>
      <c r="R548" s="2"/>
      <c r="S548" s="2"/>
      <c r="T548" s="2"/>
      <c r="U548" s="7"/>
      <c r="V548" s="37"/>
      <c r="W548" s="37"/>
      <c r="X548" s="37"/>
      <c r="Y548" s="37"/>
      <c r="Z548" s="37"/>
      <c r="AA548" s="37"/>
      <c r="AB548" s="37"/>
      <c r="AC548" s="37"/>
      <c r="AD548" s="37"/>
      <c r="AE548" s="6"/>
    </row>
    <row r="549" spans="4:31" s="1" customFormat="1" x14ac:dyDescent="0.25">
      <c r="D549" s="5"/>
      <c r="E549" s="2"/>
      <c r="F549" s="2"/>
      <c r="G549" s="2"/>
      <c r="H549" s="2"/>
      <c r="I549" s="2"/>
      <c r="J549" s="7"/>
      <c r="M549" s="2"/>
      <c r="N549" s="2"/>
      <c r="O549" s="7"/>
      <c r="P549" s="2"/>
      <c r="Q549" s="2"/>
      <c r="R549" s="2"/>
      <c r="S549" s="2"/>
      <c r="T549" s="2"/>
      <c r="U549" s="7"/>
      <c r="V549" s="37"/>
      <c r="W549" s="37"/>
      <c r="X549" s="37"/>
      <c r="Y549" s="37"/>
      <c r="Z549" s="37"/>
      <c r="AA549" s="37"/>
      <c r="AB549" s="37"/>
      <c r="AC549" s="37"/>
      <c r="AD549" s="37"/>
      <c r="AE549" s="6"/>
    </row>
    <row r="550" spans="4:31" s="1" customFormat="1" x14ac:dyDescent="0.25">
      <c r="D550" s="5"/>
      <c r="E550" s="2"/>
      <c r="F550" s="2"/>
      <c r="G550" s="2"/>
      <c r="H550" s="2"/>
      <c r="I550" s="2"/>
      <c r="J550" s="7"/>
      <c r="M550" s="2"/>
      <c r="N550" s="2"/>
      <c r="O550" s="7"/>
      <c r="P550" s="2"/>
      <c r="Q550" s="2"/>
      <c r="R550" s="2"/>
      <c r="S550" s="2"/>
      <c r="T550" s="2"/>
      <c r="U550" s="7"/>
      <c r="V550" s="37"/>
      <c r="W550" s="37"/>
      <c r="X550" s="37"/>
      <c r="Y550" s="37"/>
      <c r="Z550" s="37"/>
      <c r="AA550" s="37"/>
      <c r="AB550" s="37"/>
      <c r="AC550" s="37"/>
      <c r="AD550" s="37"/>
      <c r="AE550" s="6"/>
    </row>
    <row r="551" spans="4:31" s="1" customFormat="1" x14ac:dyDescent="0.25">
      <c r="D551" s="5"/>
      <c r="E551" s="2"/>
      <c r="F551" s="2"/>
      <c r="G551" s="2"/>
      <c r="H551" s="2"/>
      <c r="I551" s="2"/>
      <c r="J551" s="7"/>
      <c r="M551" s="2"/>
      <c r="N551" s="2"/>
      <c r="O551" s="7"/>
      <c r="P551" s="2"/>
      <c r="Q551" s="2"/>
      <c r="R551" s="2"/>
      <c r="S551" s="2"/>
      <c r="T551" s="2"/>
      <c r="U551" s="7"/>
      <c r="V551" s="37"/>
      <c r="W551" s="37"/>
      <c r="X551" s="37"/>
      <c r="Y551" s="37"/>
      <c r="Z551" s="37"/>
      <c r="AA551" s="37"/>
      <c r="AB551" s="37"/>
      <c r="AC551" s="37"/>
      <c r="AD551" s="37"/>
      <c r="AE551" s="6"/>
    </row>
    <row r="552" spans="4:31" s="1" customFormat="1" x14ac:dyDescent="0.25">
      <c r="D552" s="5"/>
      <c r="E552" s="2"/>
      <c r="F552" s="2"/>
      <c r="G552" s="2"/>
      <c r="H552" s="2"/>
      <c r="I552" s="2"/>
      <c r="J552" s="7"/>
      <c r="M552" s="2"/>
      <c r="N552" s="2"/>
      <c r="O552" s="7"/>
      <c r="P552" s="2"/>
      <c r="Q552" s="2"/>
      <c r="R552" s="2"/>
      <c r="S552" s="2"/>
      <c r="T552" s="2"/>
      <c r="U552" s="7"/>
      <c r="V552" s="37"/>
      <c r="W552" s="37"/>
      <c r="X552" s="37"/>
      <c r="Y552" s="37"/>
      <c r="Z552" s="37"/>
      <c r="AA552" s="37"/>
      <c r="AB552" s="37"/>
      <c r="AC552" s="37"/>
      <c r="AD552" s="37"/>
      <c r="AE552" s="6"/>
    </row>
    <row r="553" spans="4:31" s="1" customFormat="1" x14ac:dyDescent="0.25">
      <c r="D553" s="5"/>
      <c r="E553" s="2"/>
      <c r="F553" s="2"/>
      <c r="G553" s="2"/>
      <c r="H553" s="2"/>
      <c r="I553" s="2"/>
      <c r="J553" s="7"/>
      <c r="M553" s="2"/>
      <c r="N553" s="2"/>
      <c r="O553" s="7"/>
      <c r="P553" s="2"/>
      <c r="Q553" s="2"/>
      <c r="R553" s="2"/>
      <c r="S553" s="2"/>
      <c r="T553" s="2"/>
      <c r="U553" s="7"/>
      <c r="V553" s="37"/>
      <c r="W553" s="37"/>
      <c r="X553" s="37"/>
      <c r="Y553" s="37"/>
      <c r="Z553" s="37"/>
      <c r="AA553" s="37"/>
      <c r="AB553" s="37"/>
      <c r="AC553" s="37"/>
      <c r="AD553" s="37"/>
      <c r="AE553" s="6"/>
    </row>
    <row r="554" spans="4:31" s="1" customFormat="1" x14ac:dyDescent="0.25">
      <c r="D554" s="5"/>
      <c r="E554" s="2"/>
      <c r="F554" s="2"/>
      <c r="G554" s="2"/>
      <c r="H554" s="2"/>
      <c r="I554" s="2"/>
      <c r="J554" s="7"/>
      <c r="M554" s="2"/>
      <c r="N554" s="2"/>
      <c r="O554" s="7"/>
      <c r="P554" s="2"/>
      <c r="Q554" s="2"/>
      <c r="R554" s="2"/>
      <c r="S554" s="2"/>
      <c r="T554" s="2"/>
      <c r="U554" s="7"/>
      <c r="V554" s="37"/>
      <c r="W554" s="37"/>
      <c r="X554" s="37"/>
      <c r="Y554" s="37"/>
      <c r="Z554" s="37"/>
      <c r="AA554" s="37"/>
      <c r="AB554" s="37"/>
      <c r="AC554" s="37"/>
      <c r="AD554" s="37"/>
      <c r="AE554" s="6"/>
    </row>
    <row r="555" spans="4:31" s="1" customFormat="1" x14ac:dyDescent="0.25">
      <c r="D555" s="5"/>
      <c r="E555" s="2"/>
      <c r="F555" s="2"/>
      <c r="G555" s="2"/>
      <c r="H555" s="2"/>
      <c r="I555" s="2"/>
      <c r="J555" s="7"/>
      <c r="M555" s="2"/>
      <c r="N555" s="2"/>
      <c r="O555" s="7"/>
      <c r="P555" s="2"/>
      <c r="Q555" s="2"/>
      <c r="R555" s="2"/>
      <c r="S555" s="2"/>
      <c r="T555" s="2"/>
      <c r="U555" s="7"/>
      <c r="V555" s="37"/>
      <c r="W555" s="37"/>
      <c r="X555" s="37"/>
      <c r="Y555" s="37"/>
      <c r="Z555" s="37"/>
      <c r="AA555" s="37"/>
      <c r="AB555" s="37"/>
      <c r="AC555" s="37"/>
      <c r="AD555" s="37"/>
      <c r="AE555" s="6"/>
    </row>
    <row r="556" spans="4:31" s="1" customFormat="1" x14ac:dyDescent="0.25">
      <c r="D556" s="5"/>
      <c r="E556" s="2"/>
      <c r="F556" s="2"/>
      <c r="G556" s="2"/>
      <c r="H556" s="2"/>
      <c r="I556" s="2"/>
      <c r="J556" s="7"/>
      <c r="M556" s="2"/>
      <c r="N556" s="2"/>
      <c r="O556" s="7"/>
      <c r="P556" s="2"/>
      <c r="Q556" s="2"/>
      <c r="R556" s="2"/>
      <c r="S556" s="2"/>
      <c r="T556" s="2"/>
      <c r="U556" s="7"/>
      <c r="V556" s="37"/>
      <c r="W556" s="37"/>
      <c r="X556" s="37"/>
      <c r="Y556" s="37"/>
      <c r="Z556" s="37"/>
      <c r="AA556" s="37"/>
      <c r="AB556" s="37"/>
      <c r="AC556" s="37"/>
      <c r="AD556" s="37"/>
      <c r="AE556" s="6"/>
    </row>
    <row r="557" spans="4:31" s="1" customFormat="1" x14ac:dyDescent="0.25">
      <c r="D557" s="5"/>
      <c r="E557" s="2"/>
      <c r="F557" s="2"/>
      <c r="G557" s="2"/>
      <c r="H557" s="2"/>
      <c r="I557" s="2"/>
      <c r="J557" s="7"/>
      <c r="M557" s="2"/>
      <c r="N557" s="2"/>
      <c r="O557" s="7"/>
      <c r="P557" s="2"/>
      <c r="Q557" s="2"/>
      <c r="R557" s="2"/>
      <c r="S557" s="2"/>
      <c r="T557" s="2"/>
      <c r="U557" s="7"/>
      <c r="V557" s="37"/>
      <c r="W557" s="37"/>
      <c r="X557" s="37"/>
      <c r="Y557" s="37"/>
      <c r="Z557" s="37"/>
      <c r="AA557" s="37"/>
      <c r="AB557" s="37"/>
      <c r="AC557" s="37"/>
      <c r="AD557" s="37"/>
      <c r="AE557" s="6"/>
    </row>
    <row r="558" spans="4:31" s="1" customFormat="1" x14ac:dyDescent="0.25">
      <c r="D558" s="5"/>
      <c r="E558" s="2"/>
      <c r="F558" s="2"/>
      <c r="G558" s="2"/>
      <c r="H558" s="2"/>
      <c r="I558" s="2"/>
      <c r="J558" s="7"/>
      <c r="M558" s="2"/>
      <c r="N558" s="2"/>
      <c r="O558" s="7"/>
      <c r="P558" s="2"/>
      <c r="Q558" s="2"/>
      <c r="R558" s="2"/>
      <c r="S558" s="2"/>
      <c r="T558" s="2"/>
      <c r="U558" s="7"/>
      <c r="V558" s="37"/>
      <c r="W558" s="37"/>
      <c r="X558" s="37"/>
      <c r="Y558" s="37"/>
      <c r="Z558" s="37"/>
      <c r="AA558" s="37"/>
      <c r="AB558" s="37"/>
      <c r="AC558" s="37"/>
      <c r="AD558" s="37"/>
      <c r="AE558" s="6"/>
    </row>
    <row r="559" spans="4:31" s="1" customFormat="1" x14ac:dyDescent="0.25">
      <c r="D559" s="5"/>
      <c r="E559" s="2"/>
      <c r="F559" s="2"/>
      <c r="G559" s="2"/>
      <c r="H559" s="2"/>
      <c r="I559" s="2"/>
      <c r="J559" s="7"/>
      <c r="M559" s="2"/>
      <c r="N559" s="2"/>
      <c r="O559" s="7"/>
      <c r="P559" s="2"/>
      <c r="Q559" s="2"/>
      <c r="R559" s="2"/>
      <c r="S559" s="2"/>
      <c r="T559" s="2"/>
      <c r="U559" s="7"/>
      <c r="V559" s="37"/>
      <c r="W559" s="37"/>
      <c r="X559" s="37"/>
      <c r="Y559" s="37"/>
      <c r="Z559" s="37"/>
      <c r="AA559" s="37"/>
      <c r="AB559" s="37"/>
      <c r="AC559" s="37"/>
      <c r="AD559" s="37"/>
      <c r="AE559" s="6"/>
    </row>
    <row r="560" spans="4:31" s="1" customFormat="1" x14ac:dyDescent="0.25">
      <c r="D560" s="5"/>
      <c r="E560" s="2"/>
      <c r="F560" s="2"/>
      <c r="G560" s="2"/>
      <c r="H560" s="2"/>
      <c r="I560" s="2"/>
      <c r="J560" s="7"/>
      <c r="M560" s="2"/>
      <c r="N560" s="2"/>
      <c r="O560" s="7"/>
      <c r="P560" s="2"/>
      <c r="Q560" s="2"/>
      <c r="R560" s="2"/>
      <c r="S560" s="2"/>
      <c r="T560" s="2"/>
      <c r="U560" s="7"/>
      <c r="V560" s="37"/>
      <c r="W560" s="37"/>
      <c r="X560" s="37"/>
      <c r="Y560" s="37"/>
      <c r="Z560" s="37"/>
      <c r="AA560" s="37"/>
      <c r="AB560" s="37"/>
      <c r="AC560" s="37"/>
      <c r="AD560" s="37"/>
      <c r="AE560" s="6"/>
    </row>
    <row r="561" spans="4:31" s="1" customFormat="1" x14ac:dyDescent="0.25">
      <c r="D561" s="5"/>
      <c r="E561" s="2"/>
      <c r="F561" s="2"/>
      <c r="G561" s="2"/>
      <c r="H561" s="2"/>
      <c r="I561" s="2"/>
      <c r="J561" s="7"/>
      <c r="M561" s="2"/>
      <c r="N561" s="2"/>
      <c r="O561" s="7"/>
      <c r="P561" s="2"/>
      <c r="Q561" s="2"/>
      <c r="R561" s="2"/>
      <c r="S561" s="2"/>
      <c r="T561" s="2"/>
      <c r="U561" s="7"/>
      <c r="V561" s="37"/>
      <c r="W561" s="37"/>
      <c r="X561" s="37"/>
      <c r="Y561" s="37"/>
      <c r="Z561" s="37"/>
      <c r="AA561" s="37"/>
      <c r="AB561" s="37"/>
      <c r="AC561" s="37"/>
      <c r="AD561" s="37"/>
      <c r="AE561" s="6"/>
    </row>
    <row r="562" spans="4:31" s="1" customFormat="1" x14ac:dyDescent="0.25">
      <c r="D562" s="5"/>
      <c r="E562" s="2"/>
      <c r="F562" s="2"/>
      <c r="G562" s="2"/>
      <c r="H562" s="2"/>
      <c r="I562" s="2"/>
      <c r="J562" s="7"/>
      <c r="M562" s="2"/>
      <c r="N562" s="2"/>
      <c r="O562" s="7"/>
      <c r="P562" s="2"/>
      <c r="Q562" s="2"/>
      <c r="R562" s="2"/>
      <c r="S562" s="2"/>
      <c r="T562" s="2"/>
      <c r="U562" s="7"/>
      <c r="V562" s="37"/>
      <c r="W562" s="37"/>
      <c r="X562" s="37"/>
      <c r="Y562" s="37"/>
      <c r="Z562" s="37"/>
      <c r="AA562" s="37"/>
      <c r="AB562" s="37"/>
      <c r="AC562" s="37"/>
      <c r="AD562" s="37"/>
      <c r="AE562" s="6"/>
    </row>
    <row r="563" spans="4:31" s="1" customFormat="1" x14ac:dyDescent="0.25">
      <c r="D563" s="5"/>
      <c r="E563" s="2"/>
      <c r="F563" s="2"/>
      <c r="G563" s="2"/>
      <c r="H563" s="2"/>
      <c r="I563" s="2"/>
      <c r="J563" s="7"/>
      <c r="M563" s="2"/>
      <c r="N563" s="2"/>
      <c r="O563" s="7"/>
      <c r="P563" s="2"/>
      <c r="Q563" s="2"/>
      <c r="R563" s="2"/>
      <c r="S563" s="2"/>
      <c r="T563" s="2"/>
      <c r="U563" s="7"/>
      <c r="V563" s="37"/>
      <c r="W563" s="37"/>
      <c r="X563" s="37"/>
      <c r="Y563" s="37"/>
      <c r="Z563" s="37"/>
      <c r="AA563" s="37"/>
      <c r="AB563" s="37"/>
      <c r="AC563" s="37"/>
      <c r="AD563" s="37"/>
      <c r="AE563" s="6"/>
    </row>
    <row r="564" spans="4:31" s="1" customFormat="1" x14ac:dyDescent="0.25">
      <c r="D564" s="5"/>
      <c r="E564" s="2"/>
      <c r="F564" s="2"/>
      <c r="G564" s="2"/>
      <c r="H564" s="2"/>
      <c r="I564" s="2"/>
      <c r="J564" s="7"/>
      <c r="M564" s="2"/>
      <c r="N564" s="2"/>
      <c r="O564" s="7"/>
      <c r="P564" s="2"/>
      <c r="Q564" s="2"/>
      <c r="R564" s="2"/>
      <c r="S564" s="2"/>
      <c r="T564" s="2"/>
      <c r="U564" s="7"/>
      <c r="V564" s="37"/>
      <c r="W564" s="37"/>
      <c r="X564" s="37"/>
      <c r="Y564" s="37"/>
      <c r="Z564" s="37"/>
      <c r="AA564" s="37"/>
      <c r="AB564" s="37"/>
      <c r="AC564" s="37"/>
      <c r="AD564" s="37"/>
      <c r="AE564" s="6"/>
    </row>
    <row r="565" spans="4:31" s="1" customFormat="1" x14ac:dyDescent="0.25">
      <c r="D565" s="5"/>
      <c r="E565" s="2"/>
      <c r="F565" s="2"/>
      <c r="G565" s="2"/>
      <c r="H565" s="2"/>
      <c r="I565" s="2"/>
      <c r="J565" s="7"/>
      <c r="M565" s="2"/>
      <c r="N565" s="2"/>
      <c r="O565" s="7"/>
      <c r="P565" s="2"/>
      <c r="Q565" s="2"/>
      <c r="R565" s="2"/>
      <c r="S565" s="2"/>
      <c r="T565" s="2"/>
      <c r="U565" s="7"/>
      <c r="V565" s="37"/>
      <c r="W565" s="37"/>
      <c r="X565" s="37"/>
      <c r="Y565" s="37"/>
      <c r="Z565" s="37"/>
      <c r="AA565" s="37"/>
      <c r="AB565" s="37"/>
      <c r="AC565" s="37"/>
      <c r="AD565" s="37"/>
      <c r="AE565" s="6"/>
    </row>
    <row r="566" spans="4:31" s="1" customFormat="1" x14ac:dyDescent="0.25">
      <c r="D566" s="5"/>
      <c r="E566" s="2"/>
      <c r="F566" s="2"/>
      <c r="G566" s="2"/>
      <c r="H566" s="2"/>
      <c r="I566" s="2"/>
      <c r="J566" s="7"/>
      <c r="M566" s="2"/>
      <c r="N566" s="2"/>
      <c r="O566" s="7"/>
      <c r="P566" s="2"/>
      <c r="Q566" s="2"/>
      <c r="R566" s="2"/>
      <c r="S566" s="2"/>
      <c r="T566" s="2"/>
      <c r="U566" s="7"/>
      <c r="V566" s="37"/>
      <c r="W566" s="37"/>
      <c r="X566" s="37"/>
      <c r="Y566" s="37"/>
      <c r="Z566" s="37"/>
      <c r="AA566" s="37"/>
      <c r="AB566" s="37"/>
      <c r="AC566" s="37"/>
      <c r="AD566" s="37"/>
      <c r="AE566" s="6"/>
    </row>
    <row r="567" spans="4:31" s="1" customFormat="1" x14ac:dyDescent="0.25">
      <c r="D567" s="5"/>
      <c r="E567" s="2"/>
      <c r="F567" s="2"/>
      <c r="G567" s="2"/>
      <c r="H567" s="2"/>
      <c r="I567" s="2"/>
      <c r="J567" s="7"/>
      <c r="M567" s="2"/>
      <c r="N567" s="2"/>
      <c r="O567" s="7"/>
      <c r="P567" s="2"/>
      <c r="Q567" s="2"/>
      <c r="R567" s="2"/>
      <c r="S567" s="2"/>
      <c r="T567" s="2"/>
      <c r="U567" s="7"/>
      <c r="V567" s="37"/>
      <c r="W567" s="37"/>
      <c r="X567" s="37"/>
      <c r="Y567" s="37"/>
      <c r="Z567" s="37"/>
      <c r="AA567" s="37"/>
      <c r="AB567" s="37"/>
      <c r="AC567" s="37"/>
      <c r="AD567" s="37"/>
      <c r="AE567" s="6"/>
    </row>
    <row r="568" spans="4:31" s="1" customFormat="1" x14ac:dyDescent="0.25">
      <c r="D568" s="5"/>
      <c r="E568" s="2"/>
      <c r="F568" s="2"/>
      <c r="G568" s="2"/>
      <c r="H568" s="2"/>
      <c r="I568" s="2"/>
      <c r="J568" s="7"/>
      <c r="M568" s="2"/>
      <c r="N568" s="2"/>
      <c r="O568" s="7"/>
      <c r="P568" s="2"/>
      <c r="Q568" s="2"/>
      <c r="R568" s="2"/>
      <c r="S568" s="2"/>
      <c r="T568" s="2"/>
      <c r="U568" s="7"/>
      <c r="V568" s="37"/>
      <c r="W568" s="37"/>
      <c r="X568" s="37"/>
      <c r="Y568" s="37"/>
      <c r="Z568" s="37"/>
      <c r="AA568" s="37"/>
      <c r="AB568" s="37"/>
      <c r="AC568" s="37"/>
      <c r="AD568" s="37"/>
      <c r="AE568" s="6"/>
    </row>
  </sheetData>
  <mergeCells count="15">
    <mergeCell ref="V1:V2"/>
    <mergeCell ref="P1:U1"/>
    <mergeCell ref="A51:D51"/>
    <mergeCell ref="P53:T53"/>
    <mergeCell ref="A1:A2"/>
    <mergeCell ref="B1:B2"/>
    <mergeCell ref="C1:C2"/>
    <mergeCell ref="D1:D2"/>
    <mergeCell ref="E1:J1"/>
    <mergeCell ref="K1:O1"/>
    <mergeCell ref="Z1:Z2"/>
    <mergeCell ref="AA1:AA2"/>
    <mergeCell ref="W1:W2"/>
    <mergeCell ref="X1:X2"/>
    <mergeCell ref="Y1:Y2"/>
  </mergeCells>
  <pageMargins left="0.19685039370078741" right="0.19685039370078741" top="0.23622047244094491" bottom="0.47244094488188981" header="0.19685039370078741" footer="0.31496062992125984"/>
  <pageSetup paperSize="9" scale="49" orientation="landscape" r:id="rId1"/>
  <rowBreaks count="1" manualBreakCount="1">
    <brk id="5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C322-24AE-4C25-B39A-1DD5767F5667}">
  <sheetPr filterMode="1"/>
  <dimension ref="A1:R125"/>
  <sheetViews>
    <sheetView workbookViewId="0">
      <selection activeCell="K35" sqref="K35"/>
    </sheetView>
  </sheetViews>
  <sheetFormatPr defaultRowHeight="15" x14ac:dyDescent="0.25"/>
  <cols>
    <col min="1" max="1" width="4" bestFit="1" customWidth="1"/>
    <col min="2" max="2" width="6.85546875" bestFit="1" customWidth="1"/>
    <col min="3" max="3" width="30" bestFit="1" customWidth="1"/>
    <col min="4" max="4" width="29.7109375" bestFit="1" customWidth="1"/>
    <col min="5" max="6" width="30.140625" bestFit="1" customWidth="1"/>
    <col min="7" max="7" width="13.7109375" bestFit="1" customWidth="1"/>
    <col min="8" max="8" width="11" bestFit="1" customWidth="1"/>
    <col min="9" max="10" width="17.42578125" bestFit="1" customWidth="1"/>
    <col min="11" max="11" width="11.5703125" bestFit="1" customWidth="1"/>
    <col min="12" max="12" width="75.42578125" bestFit="1" customWidth="1"/>
    <col min="13" max="13" width="56.140625" bestFit="1" customWidth="1"/>
    <col min="14" max="15" width="10.5703125" customWidth="1"/>
    <col min="16" max="17" width="21.42578125" customWidth="1"/>
    <col min="18" max="18" width="10" style="148" customWidth="1"/>
  </cols>
  <sheetData>
    <row r="1" spans="1:18" ht="15.75" thickBot="1" x14ac:dyDescent="0.3"/>
    <row r="2" spans="1:18" ht="43.5" thickBot="1" x14ac:dyDescent="0.3">
      <c r="A2" s="8" t="s">
        <v>0</v>
      </c>
      <c r="B2" s="3" t="s">
        <v>6</v>
      </c>
      <c r="C2" s="3" t="s">
        <v>6</v>
      </c>
      <c r="D2" s="3" t="s">
        <v>511</v>
      </c>
      <c r="E2" s="3" t="s">
        <v>7</v>
      </c>
      <c r="F2" s="3"/>
      <c r="G2" s="4" t="s">
        <v>1</v>
      </c>
      <c r="H2" s="4" t="s">
        <v>8</v>
      </c>
      <c r="I2" s="4" t="s">
        <v>12</v>
      </c>
      <c r="J2" s="3" t="s">
        <v>4</v>
      </c>
      <c r="K2" s="3" t="s">
        <v>5</v>
      </c>
      <c r="L2" s="4" t="s">
        <v>9</v>
      </c>
      <c r="M2" s="4" t="s">
        <v>10</v>
      </c>
      <c r="N2" s="91" t="s">
        <v>18</v>
      </c>
      <c r="O2" s="91" t="s">
        <v>17</v>
      </c>
      <c r="P2" s="125" t="s">
        <v>11</v>
      </c>
      <c r="Q2" s="126"/>
      <c r="R2" s="146" t="s">
        <v>1698</v>
      </c>
    </row>
    <row r="3" spans="1:18" hidden="1" x14ac:dyDescent="0.25">
      <c r="A3" s="151">
        <v>1</v>
      </c>
      <c r="B3" s="77" t="s">
        <v>13</v>
      </c>
      <c r="C3" s="77" t="s">
        <v>221</v>
      </c>
      <c r="D3" s="77" t="s">
        <v>16</v>
      </c>
      <c r="E3" s="77" t="s">
        <v>400</v>
      </c>
      <c r="F3" s="77"/>
      <c r="G3" s="78" t="s">
        <v>27</v>
      </c>
      <c r="H3" s="79" t="s">
        <v>413</v>
      </c>
      <c r="I3" s="78">
        <v>5310179532</v>
      </c>
      <c r="J3" s="79">
        <v>900335183</v>
      </c>
      <c r="K3" s="57">
        <v>36845</v>
      </c>
      <c r="L3" s="78" t="s">
        <v>815</v>
      </c>
      <c r="M3" s="78" t="s">
        <v>730</v>
      </c>
      <c r="N3" s="152" t="s">
        <v>758</v>
      </c>
      <c r="O3" s="152" t="s">
        <v>748</v>
      </c>
      <c r="P3" s="153" t="s">
        <v>268</v>
      </c>
      <c r="Q3" s="154" t="s">
        <v>312</v>
      </c>
      <c r="R3" s="147" t="s">
        <v>1700</v>
      </c>
    </row>
    <row r="4" spans="1:18" x14ac:dyDescent="0.25">
      <c r="A4" s="151">
        <v>2</v>
      </c>
      <c r="B4" s="77" t="s">
        <v>13</v>
      </c>
      <c r="C4" s="77" t="s">
        <v>221</v>
      </c>
      <c r="D4" s="77" t="s">
        <v>16</v>
      </c>
      <c r="E4" s="77" t="s">
        <v>400</v>
      </c>
      <c r="F4" s="80"/>
      <c r="G4" s="86" t="s">
        <v>27</v>
      </c>
      <c r="H4" s="79" t="s">
        <v>413</v>
      </c>
      <c r="I4" s="78">
        <v>5310179516</v>
      </c>
      <c r="J4" s="77" t="s">
        <v>1707</v>
      </c>
      <c r="K4" s="79">
        <v>78649</v>
      </c>
      <c r="L4" s="78" t="s">
        <v>814</v>
      </c>
      <c r="M4" s="78" t="s">
        <v>554</v>
      </c>
      <c r="N4" s="78" t="s">
        <v>466</v>
      </c>
      <c r="O4" s="78" t="s">
        <v>465</v>
      </c>
      <c r="P4" s="77" t="s">
        <v>248</v>
      </c>
      <c r="Q4" s="80" t="s">
        <v>313</v>
      </c>
      <c r="R4" s="147" t="s">
        <v>1700</v>
      </c>
    </row>
    <row r="5" spans="1:18" hidden="1" x14ac:dyDescent="0.25">
      <c r="A5" s="151">
        <v>3</v>
      </c>
      <c r="B5" s="77" t="s">
        <v>20</v>
      </c>
      <c r="C5" s="77" t="s">
        <v>222</v>
      </c>
      <c r="D5" s="77" t="s">
        <v>16</v>
      </c>
      <c r="E5" s="77" t="s">
        <v>401</v>
      </c>
      <c r="F5" s="77"/>
      <c r="G5" s="78" t="s">
        <v>22</v>
      </c>
      <c r="H5" s="79" t="s">
        <v>178</v>
      </c>
      <c r="I5" s="78">
        <v>57526893</v>
      </c>
      <c r="J5" s="77" t="s">
        <v>23</v>
      </c>
      <c r="K5" s="57" t="s">
        <v>24</v>
      </c>
      <c r="L5" s="78" t="s">
        <v>555</v>
      </c>
      <c r="M5" s="78" t="s">
        <v>731</v>
      </c>
      <c r="N5" s="78" t="s">
        <v>759</v>
      </c>
      <c r="O5" s="78" t="s">
        <v>749</v>
      </c>
      <c r="P5" s="77" t="s">
        <v>249</v>
      </c>
      <c r="Q5" s="80" t="s">
        <v>537</v>
      </c>
      <c r="R5" s="147" t="s">
        <v>1699</v>
      </c>
    </row>
    <row r="6" spans="1:18" hidden="1" x14ac:dyDescent="0.25">
      <c r="A6" s="151">
        <v>4</v>
      </c>
      <c r="B6" s="77" t="s">
        <v>20</v>
      </c>
      <c r="C6" s="77" t="s">
        <v>222</v>
      </c>
      <c r="D6" s="77" t="s">
        <v>16</v>
      </c>
      <c r="E6" s="77" t="s">
        <v>401</v>
      </c>
      <c r="F6" s="77"/>
      <c r="G6" s="78" t="s">
        <v>27</v>
      </c>
      <c r="H6" s="79" t="s">
        <v>178</v>
      </c>
      <c r="I6" s="78">
        <v>5310176939</v>
      </c>
      <c r="J6" s="77" t="s">
        <v>118</v>
      </c>
      <c r="K6" s="77" t="s">
        <v>119</v>
      </c>
      <c r="L6" s="78" t="s">
        <v>467</v>
      </c>
      <c r="M6" s="78" t="s">
        <v>750</v>
      </c>
      <c r="N6" s="78" t="s">
        <v>466</v>
      </c>
      <c r="O6" s="78" t="s">
        <v>465</v>
      </c>
      <c r="P6" s="77" t="s">
        <v>247</v>
      </c>
      <c r="Q6" s="80" t="s">
        <v>314</v>
      </c>
      <c r="R6" s="147" t="s">
        <v>1700</v>
      </c>
    </row>
    <row r="7" spans="1:18" hidden="1" x14ac:dyDescent="0.25">
      <c r="A7" s="151">
        <v>5</v>
      </c>
      <c r="B7" s="77" t="s">
        <v>20</v>
      </c>
      <c r="C7" s="77" t="s">
        <v>222</v>
      </c>
      <c r="D7" s="77" t="s">
        <v>16</v>
      </c>
      <c r="E7" s="77" t="s">
        <v>401</v>
      </c>
      <c r="F7" s="77"/>
      <c r="G7" s="78" t="s">
        <v>27</v>
      </c>
      <c r="H7" s="79" t="s">
        <v>413</v>
      </c>
      <c r="I7" s="78">
        <v>5310179247</v>
      </c>
      <c r="J7" s="78">
        <v>900334959</v>
      </c>
      <c r="K7" s="57">
        <v>36586</v>
      </c>
      <c r="L7" s="78" t="s">
        <v>555</v>
      </c>
      <c r="M7" s="78" t="s">
        <v>731</v>
      </c>
      <c r="N7" s="78" t="s">
        <v>473</v>
      </c>
      <c r="O7" s="78" t="s">
        <v>472</v>
      </c>
      <c r="P7" s="77" t="s">
        <v>583</v>
      </c>
      <c r="Q7" s="80" t="s">
        <v>584</v>
      </c>
      <c r="R7" s="147" t="s">
        <v>1700</v>
      </c>
    </row>
    <row r="8" spans="1:18" hidden="1" x14ac:dyDescent="0.25">
      <c r="A8" s="151">
        <v>6</v>
      </c>
      <c r="B8" s="77" t="s">
        <v>20</v>
      </c>
      <c r="C8" s="77" t="s">
        <v>222</v>
      </c>
      <c r="D8" s="77" t="s">
        <v>16</v>
      </c>
      <c r="E8" s="77" t="s">
        <v>401</v>
      </c>
      <c r="F8" s="77" t="s">
        <v>1663</v>
      </c>
      <c r="G8" s="78" t="s">
        <v>27</v>
      </c>
      <c r="H8" s="79" t="s">
        <v>413</v>
      </c>
      <c r="I8" s="78">
        <v>5310179519</v>
      </c>
      <c r="J8" s="77" t="s">
        <v>580</v>
      </c>
      <c r="K8" s="57">
        <v>68606</v>
      </c>
      <c r="L8" s="78" t="s">
        <v>471</v>
      </c>
      <c r="M8" s="78" t="s">
        <v>557</v>
      </c>
      <c r="N8" s="79" t="s">
        <v>866</v>
      </c>
      <c r="O8" s="79" t="s">
        <v>867</v>
      </c>
      <c r="P8" s="77" t="s">
        <v>585</v>
      </c>
      <c r="Q8" s="80" t="s">
        <v>586</v>
      </c>
      <c r="R8" s="148" t="s">
        <v>1700</v>
      </c>
    </row>
    <row r="9" spans="1:18" hidden="1" x14ac:dyDescent="0.25">
      <c r="A9" s="151">
        <v>7</v>
      </c>
      <c r="B9" s="77" t="s">
        <v>20</v>
      </c>
      <c r="C9" s="77" t="s">
        <v>222</v>
      </c>
      <c r="D9" s="77" t="s">
        <v>16</v>
      </c>
      <c r="E9" s="77" t="s">
        <v>401</v>
      </c>
      <c r="F9" s="77" t="s">
        <v>1663</v>
      </c>
      <c r="G9" s="78" t="s">
        <v>27</v>
      </c>
      <c r="H9" s="79" t="s">
        <v>413</v>
      </c>
      <c r="I9" s="78">
        <v>5310179536</v>
      </c>
      <c r="J9" s="77" t="s">
        <v>581</v>
      </c>
      <c r="K9" s="57">
        <v>68608</v>
      </c>
      <c r="L9" s="82" t="s">
        <v>816</v>
      </c>
      <c r="M9" s="78" t="s">
        <v>817</v>
      </c>
      <c r="N9" s="78" t="s">
        <v>475</v>
      </c>
      <c r="O9" s="78" t="s">
        <v>474</v>
      </c>
      <c r="P9" s="77" t="s">
        <v>587</v>
      </c>
      <c r="Q9" s="80" t="s">
        <v>588</v>
      </c>
      <c r="R9" s="147" t="s">
        <v>1699</v>
      </c>
    </row>
    <row r="10" spans="1:18" hidden="1" x14ac:dyDescent="0.25">
      <c r="A10" s="151">
        <v>8</v>
      </c>
      <c r="B10" s="77" t="s">
        <v>20</v>
      </c>
      <c r="C10" s="77" t="s">
        <v>222</v>
      </c>
      <c r="D10" s="77" t="s">
        <v>16</v>
      </c>
      <c r="E10" s="77" t="s">
        <v>401</v>
      </c>
      <c r="F10" s="77" t="s">
        <v>1663</v>
      </c>
      <c r="G10" s="78" t="s">
        <v>27</v>
      </c>
      <c r="H10" s="79" t="s">
        <v>413</v>
      </c>
      <c r="I10" s="78">
        <v>5310179500</v>
      </c>
      <c r="J10" s="77" t="s">
        <v>582</v>
      </c>
      <c r="K10" s="57">
        <v>68609</v>
      </c>
      <c r="L10" s="78" t="s">
        <v>558</v>
      </c>
      <c r="M10" s="78" t="s">
        <v>559</v>
      </c>
      <c r="N10" s="78" t="s">
        <v>473</v>
      </c>
      <c r="O10" s="78" t="s">
        <v>472</v>
      </c>
      <c r="P10" s="77" t="s">
        <v>595</v>
      </c>
      <c r="Q10" s="80" t="s">
        <v>596</v>
      </c>
      <c r="R10" s="147" t="s">
        <v>1700</v>
      </c>
    </row>
    <row r="11" spans="1:18" hidden="1" x14ac:dyDescent="0.25">
      <c r="A11" s="151">
        <v>9</v>
      </c>
      <c r="B11" s="77" t="s">
        <v>20</v>
      </c>
      <c r="C11" s="77" t="s">
        <v>222</v>
      </c>
      <c r="D11" s="77" t="s">
        <v>16</v>
      </c>
      <c r="E11" s="77" t="s">
        <v>401</v>
      </c>
      <c r="F11" s="77" t="s">
        <v>1663</v>
      </c>
      <c r="G11" s="78" t="s">
        <v>22</v>
      </c>
      <c r="H11" s="79" t="s">
        <v>178</v>
      </c>
      <c r="I11" s="78">
        <v>57526858</v>
      </c>
      <c r="J11" s="77" t="s">
        <v>593</v>
      </c>
      <c r="K11" s="57" t="s">
        <v>594</v>
      </c>
      <c r="L11" s="78" t="s">
        <v>471</v>
      </c>
      <c r="M11" s="78" t="s">
        <v>557</v>
      </c>
      <c r="N11" s="78" t="s">
        <v>733</v>
      </c>
      <c r="O11" s="78" t="s">
        <v>734</v>
      </c>
      <c r="P11" s="77" t="s">
        <v>721</v>
      </c>
      <c r="Q11" s="80" t="s">
        <v>722</v>
      </c>
      <c r="R11" s="147" t="s">
        <v>1699</v>
      </c>
    </row>
    <row r="12" spans="1:18" ht="15.75" hidden="1" x14ac:dyDescent="0.25">
      <c r="A12" s="151">
        <v>10</v>
      </c>
      <c r="B12" s="77" t="s">
        <v>30</v>
      </c>
      <c r="C12" s="77" t="s">
        <v>219</v>
      </c>
      <c r="D12" s="77" t="s">
        <v>28</v>
      </c>
      <c r="E12" s="77" t="s">
        <v>415</v>
      </c>
      <c r="F12" s="77"/>
      <c r="G12" s="78" t="s">
        <v>27</v>
      </c>
      <c r="H12" s="79" t="s">
        <v>413</v>
      </c>
      <c r="I12" s="78">
        <v>5310179511</v>
      </c>
      <c r="J12" s="77" t="s">
        <v>720</v>
      </c>
      <c r="K12" s="79">
        <v>70700</v>
      </c>
      <c r="L12" s="155" t="s">
        <v>881</v>
      </c>
      <c r="M12" s="78" t="s">
        <v>478</v>
      </c>
      <c r="N12" s="78" t="s">
        <v>733</v>
      </c>
      <c r="O12" s="78" t="s">
        <v>734</v>
      </c>
      <c r="P12" s="57" t="s">
        <v>199</v>
      </c>
      <c r="Q12" s="81" t="s">
        <v>315</v>
      </c>
      <c r="R12" s="147" t="s">
        <v>1699</v>
      </c>
    </row>
    <row r="13" spans="1:18" ht="15.75" hidden="1" x14ac:dyDescent="0.25">
      <c r="A13" s="151">
        <v>11</v>
      </c>
      <c r="B13" s="77" t="s">
        <v>30</v>
      </c>
      <c r="C13" s="77" t="s">
        <v>219</v>
      </c>
      <c r="D13" s="77" t="s">
        <v>28</v>
      </c>
      <c r="E13" s="77" t="s">
        <v>415</v>
      </c>
      <c r="F13" s="77"/>
      <c r="G13" s="78" t="s">
        <v>27</v>
      </c>
      <c r="H13" s="79" t="s">
        <v>178</v>
      </c>
      <c r="I13" s="78">
        <v>5310178979</v>
      </c>
      <c r="J13" s="79" t="s">
        <v>138</v>
      </c>
      <c r="K13" s="77" t="s">
        <v>139</v>
      </c>
      <c r="L13" s="155" t="s">
        <v>881</v>
      </c>
      <c r="M13" s="78" t="s">
        <v>478</v>
      </c>
      <c r="N13" s="78" t="s">
        <v>553</v>
      </c>
      <c r="O13" s="78" t="s">
        <v>552</v>
      </c>
      <c r="P13" s="77" t="s">
        <v>673</v>
      </c>
      <c r="Q13" s="80" t="s">
        <v>674</v>
      </c>
      <c r="R13" s="149" t="s">
        <v>1700</v>
      </c>
    </row>
    <row r="14" spans="1:18" x14ac:dyDescent="0.25">
      <c r="A14" s="151">
        <v>12</v>
      </c>
      <c r="B14" s="77" t="s">
        <v>30</v>
      </c>
      <c r="C14" s="77" t="s">
        <v>219</v>
      </c>
      <c r="D14" s="77" t="s">
        <v>28</v>
      </c>
      <c r="E14" s="77" t="s">
        <v>415</v>
      </c>
      <c r="F14" s="77" t="s">
        <v>426</v>
      </c>
      <c r="G14" s="78" t="s">
        <v>31</v>
      </c>
      <c r="H14" s="79" t="s">
        <v>413</v>
      </c>
      <c r="I14" s="78">
        <v>5310138122</v>
      </c>
      <c r="J14" s="77" t="s">
        <v>644</v>
      </c>
      <c r="K14" s="57">
        <v>69812</v>
      </c>
      <c r="L14" s="78" t="s">
        <v>547</v>
      </c>
      <c r="M14" s="78" t="s">
        <v>548</v>
      </c>
      <c r="N14" s="78" t="s">
        <v>553</v>
      </c>
      <c r="O14" s="78" t="s">
        <v>552</v>
      </c>
      <c r="P14" s="77" t="s">
        <v>681</v>
      </c>
      <c r="Q14" s="80" t="s">
        <v>682</v>
      </c>
      <c r="R14" s="149" t="s">
        <v>1700</v>
      </c>
    </row>
    <row r="15" spans="1:18" x14ac:dyDescent="0.25">
      <c r="A15" s="151">
        <v>13</v>
      </c>
      <c r="B15" s="77" t="s">
        <v>30</v>
      </c>
      <c r="C15" s="77" t="s">
        <v>219</v>
      </c>
      <c r="D15" s="77" t="s">
        <v>28</v>
      </c>
      <c r="E15" s="77" t="s">
        <v>415</v>
      </c>
      <c r="F15" s="77" t="s">
        <v>426</v>
      </c>
      <c r="G15" s="78" t="s">
        <v>22</v>
      </c>
      <c r="H15" s="79" t="s">
        <v>178</v>
      </c>
      <c r="I15" s="78">
        <v>57526909</v>
      </c>
      <c r="J15" s="77" t="s">
        <v>679</v>
      </c>
      <c r="K15" s="57" t="s">
        <v>680</v>
      </c>
      <c r="L15" s="78" t="s">
        <v>547</v>
      </c>
      <c r="M15" s="78" t="s">
        <v>548</v>
      </c>
      <c r="N15" s="78" t="s">
        <v>480</v>
      </c>
      <c r="O15" s="78" t="s">
        <v>479</v>
      </c>
      <c r="P15" s="77" t="s">
        <v>677</v>
      </c>
      <c r="Q15" s="80" t="s">
        <v>678</v>
      </c>
      <c r="R15" s="149" t="s">
        <v>1699</v>
      </c>
    </row>
    <row r="16" spans="1:18" hidden="1" x14ac:dyDescent="0.25">
      <c r="A16" s="151">
        <v>14</v>
      </c>
      <c r="B16" s="77" t="s">
        <v>30</v>
      </c>
      <c r="C16" s="77" t="s">
        <v>219</v>
      </c>
      <c r="D16" s="77" t="s">
        <v>28</v>
      </c>
      <c r="E16" s="77" t="s">
        <v>415</v>
      </c>
      <c r="F16" s="77" t="s">
        <v>426</v>
      </c>
      <c r="G16" s="78" t="s">
        <v>27</v>
      </c>
      <c r="H16" s="79" t="s">
        <v>413</v>
      </c>
      <c r="I16" s="78">
        <v>5310179526</v>
      </c>
      <c r="J16" s="77" t="s">
        <v>646</v>
      </c>
      <c r="K16" s="57">
        <v>69820</v>
      </c>
      <c r="L16" s="78" t="s">
        <v>1697</v>
      </c>
      <c r="M16" s="78" t="s">
        <v>549</v>
      </c>
      <c r="N16" s="78" t="s">
        <v>882</v>
      </c>
      <c r="O16" s="78" t="s">
        <v>883</v>
      </c>
      <c r="P16" s="77" t="s">
        <v>675</v>
      </c>
      <c r="Q16" s="80" t="s">
        <v>676</v>
      </c>
      <c r="R16" s="149" t="s">
        <v>1700</v>
      </c>
    </row>
    <row r="17" spans="1:18" hidden="1" x14ac:dyDescent="0.25">
      <c r="A17" s="151">
        <v>15</v>
      </c>
      <c r="B17" s="77" t="s">
        <v>30</v>
      </c>
      <c r="C17" s="77" t="s">
        <v>219</v>
      </c>
      <c r="D17" s="77" t="s">
        <v>28</v>
      </c>
      <c r="E17" s="77" t="s">
        <v>415</v>
      </c>
      <c r="F17" s="77" t="s">
        <v>426</v>
      </c>
      <c r="G17" s="78" t="s">
        <v>27</v>
      </c>
      <c r="H17" s="79" t="s">
        <v>413</v>
      </c>
      <c r="I17" s="78">
        <v>5310179660</v>
      </c>
      <c r="J17" s="77" t="s">
        <v>645</v>
      </c>
      <c r="K17" s="57">
        <v>69816</v>
      </c>
      <c r="L17" s="78" t="s">
        <v>550</v>
      </c>
      <c r="M17" s="78" t="s">
        <v>551</v>
      </c>
      <c r="N17" s="78" t="s">
        <v>642</v>
      </c>
      <c r="O17" s="78" t="s">
        <v>643</v>
      </c>
      <c r="P17" s="77" t="s">
        <v>671</v>
      </c>
      <c r="Q17" s="80" t="s">
        <v>672</v>
      </c>
      <c r="R17" s="149" t="s">
        <v>1699</v>
      </c>
    </row>
    <row r="18" spans="1:18" x14ac:dyDescent="0.25">
      <c r="A18" s="151">
        <v>16</v>
      </c>
      <c r="B18" s="77" t="s">
        <v>30</v>
      </c>
      <c r="C18" s="77" t="s">
        <v>219</v>
      </c>
      <c r="D18" s="77" t="s">
        <v>28</v>
      </c>
      <c r="E18" s="77" t="s">
        <v>415</v>
      </c>
      <c r="F18" s="77" t="s">
        <v>414</v>
      </c>
      <c r="G18" s="78" t="s">
        <v>27</v>
      </c>
      <c r="H18" s="79" t="s">
        <v>413</v>
      </c>
      <c r="I18" s="78">
        <v>5310179313</v>
      </c>
      <c r="J18" s="79">
        <v>900366139</v>
      </c>
      <c r="K18" s="77">
        <v>70024</v>
      </c>
      <c r="L18" s="78" t="s">
        <v>546</v>
      </c>
      <c r="M18" s="78" t="s">
        <v>641</v>
      </c>
      <c r="N18" s="78" t="s">
        <v>597</v>
      </c>
      <c r="O18" s="78" t="s">
        <v>598</v>
      </c>
      <c r="P18" s="77" t="s">
        <v>200</v>
      </c>
      <c r="Q18" s="80" t="s">
        <v>316</v>
      </c>
      <c r="R18" s="149" t="s">
        <v>1700</v>
      </c>
    </row>
    <row r="19" spans="1:18" x14ac:dyDescent="0.25">
      <c r="A19" s="151">
        <v>17</v>
      </c>
      <c r="B19" s="77" t="s">
        <v>33</v>
      </c>
      <c r="C19" s="77" t="s">
        <v>220</v>
      </c>
      <c r="D19" s="77" t="s">
        <v>507</v>
      </c>
      <c r="E19" s="77" t="s">
        <v>416</v>
      </c>
      <c r="F19" s="77"/>
      <c r="G19" s="78" t="s">
        <v>22</v>
      </c>
      <c r="H19" s="79" t="s">
        <v>178</v>
      </c>
      <c r="I19" s="78">
        <v>57526836</v>
      </c>
      <c r="J19" s="77" t="s">
        <v>36</v>
      </c>
      <c r="K19" s="57" t="s">
        <v>37</v>
      </c>
      <c r="L19" s="78" t="s">
        <v>519</v>
      </c>
      <c r="M19" s="78" t="s">
        <v>520</v>
      </c>
      <c r="N19" s="78" t="s">
        <v>599</v>
      </c>
      <c r="O19" s="78" t="s">
        <v>600</v>
      </c>
      <c r="P19" s="77" t="s">
        <v>201</v>
      </c>
      <c r="Q19" s="80" t="s">
        <v>317</v>
      </c>
      <c r="R19" s="149" t="s">
        <v>1700</v>
      </c>
    </row>
    <row r="20" spans="1:18" hidden="1" x14ac:dyDescent="0.25">
      <c r="A20" s="151">
        <v>18</v>
      </c>
      <c r="B20" s="77" t="s">
        <v>33</v>
      </c>
      <c r="C20" s="77" t="s">
        <v>220</v>
      </c>
      <c r="D20" s="77" t="s">
        <v>507</v>
      </c>
      <c r="E20" s="77" t="s">
        <v>416</v>
      </c>
      <c r="F20" s="77"/>
      <c r="G20" s="78" t="s">
        <v>27</v>
      </c>
      <c r="H20" s="79" t="s">
        <v>178</v>
      </c>
      <c r="I20" s="78">
        <v>5310179011</v>
      </c>
      <c r="J20" s="78" t="s">
        <v>126</v>
      </c>
      <c r="K20" s="77" t="s">
        <v>127</v>
      </c>
      <c r="L20" s="78" t="s">
        <v>521</v>
      </c>
      <c r="M20" s="78" t="s">
        <v>522</v>
      </c>
      <c r="N20" s="78" t="s">
        <v>599</v>
      </c>
      <c r="O20" s="78" t="s">
        <v>600</v>
      </c>
      <c r="P20" s="77" t="s">
        <v>202</v>
      </c>
      <c r="Q20" s="80" t="s">
        <v>318</v>
      </c>
      <c r="R20" s="149" t="s">
        <v>1700</v>
      </c>
    </row>
    <row r="21" spans="1:18" hidden="1" x14ac:dyDescent="0.25">
      <c r="A21" s="151">
        <v>19</v>
      </c>
      <c r="B21" s="77" t="s">
        <v>33</v>
      </c>
      <c r="C21" s="77" t="s">
        <v>220</v>
      </c>
      <c r="D21" s="77" t="s">
        <v>507</v>
      </c>
      <c r="E21" s="77" t="s">
        <v>416</v>
      </c>
      <c r="F21" s="77"/>
      <c r="G21" s="78" t="s">
        <v>27</v>
      </c>
      <c r="H21" s="79" t="s">
        <v>413</v>
      </c>
      <c r="I21" s="78">
        <v>5310179471</v>
      </c>
      <c r="J21" s="77" t="s">
        <v>35</v>
      </c>
      <c r="K21" s="57">
        <v>35930</v>
      </c>
      <c r="L21" s="78" t="s">
        <v>521</v>
      </c>
      <c r="M21" s="78" t="s">
        <v>522</v>
      </c>
      <c r="N21" s="78" t="s">
        <v>601</v>
      </c>
      <c r="O21" s="78" t="s">
        <v>602</v>
      </c>
      <c r="P21" s="77" t="s">
        <v>394</v>
      </c>
      <c r="Q21" s="80" t="s">
        <v>395</v>
      </c>
      <c r="R21" s="149" t="s">
        <v>1700</v>
      </c>
    </row>
    <row r="22" spans="1:18" hidden="1" x14ac:dyDescent="0.25">
      <c r="A22" s="151">
        <v>20</v>
      </c>
      <c r="B22" s="77" t="s">
        <v>33</v>
      </c>
      <c r="C22" s="77" t="s">
        <v>220</v>
      </c>
      <c r="D22" s="77" t="s">
        <v>507</v>
      </c>
      <c r="E22" s="77" t="s">
        <v>416</v>
      </c>
      <c r="F22" s="77"/>
      <c r="G22" s="78" t="s">
        <v>27</v>
      </c>
      <c r="H22" s="79" t="s">
        <v>413</v>
      </c>
      <c r="I22" s="78">
        <v>5310179429</v>
      </c>
      <c r="J22" s="78">
        <v>900351667</v>
      </c>
      <c r="K22" s="77">
        <v>54876</v>
      </c>
      <c r="L22" s="78" t="s">
        <v>523</v>
      </c>
      <c r="M22" s="78" t="s">
        <v>524</v>
      </c>
      <c r="N22" s="78" t="s">
        <v>735</v>
      </c>
      <c r="O22" s="78" t="s">
        <v>736</v>
      </c>
      <c r="P22" s="77" t="s">
        <v>251</v>
      </c>
      <c r="Q22" s="80" t="s">
        <v>319</v>
      </c>
      <c r="R22" s="149" t="s">
        <v>1700</v>
      </c>
    </row>
    <row r="23" spans="1:18" x14ac:dyDescent="0.25">
      <c r="A23" s="151">
        <v>21</v>
      </c>
      <c r="B23" s="77" t="s">
        <v>38</v>
      </c>
      <c r="C23" s="77" t="s">
        <v>223</v>
      </c>
      <c r="D23" s="77" t="s">
        <v>117</v>
      </c>
      <c r="E23" s="77" t="s">
        <v>417</v>
      </c>
      <c r="F23" s="77"/>
      <c r="G23" s="78" t="s">
        <v>22</v>
      </c>
      <c r="H23" s="79" t="s">
        <v>178</v>
      </c>
      <c r="I23" s="78">
        <v>57526907</v>
      </c>
      <c r="J23" s="77" t="s">
        <v>39</v>
      </c>
      <c r="K23" s="57" t="s">
        <v>40</v>
      </c>
      <c r="L23" s="78" t="s">
        <v>772</v>
      </c>
      <c r="M23" s="78" t="s">
        <v>514</v>
      </c>
      <c r="N23" s="78" t="s">
        <v>451</v>
      </c>
      <c r="O23" s="78" t="s">
        <v>450</v>
      </c>
      <c r="P23" s="77" t="s">
        <v>250</v>
      </c>
      <c r="Q23" s="80" t="s">
        <v>320</v>
      </c>
      <c r="R23" s="149" t="s">
        <v>1700</v>
      </c>
    </row>
    <row r="24" spans="1:18" hidden="1" x14ac:dyDescent="0.25">
      <c r="A24" s="151">
        <v>22</v>
      </c>
      <c r="B24" s="77" t="s">
        <v>38</v>
      </c>
      <c r="C24" s="77" t="s">
        <v>223</v>
      </c>
      <c r="D24" s="77" t="s">
        <v>117</v>
      </c>
      <c r="E24" s="77" t="s">
        <v>417</v>
      </c>
      <c r="F24" s="77"/>
      <c r="G24" s="78" t="s">
        <v>27</v>
      </c>
      <c r="H24" s="79" t="s">
        <v>413</v>
      </c>
      <c r="I24" s="78">
        <v>5310179823</v>
      </c>
      <c r="J24" s="77" t="s">
        <v>116</v>
      </c>
      <c r="K24" s="57">
        <v>36584</v>
      </c>
      <c r="L24" s="78" t="s">
        <v>894</v>
      </c>
      <c r="M24" s="78" t="s">
        <v>515</v>
      </c>
      <c r="N24" s="78" t="s">
        <v>762</v>
      </c>
      <c r="O24" s="78" t="s">
        <v>944</v>
      </c>
      <c r="P24" s="77" t="s">
        <v>274</v>
      </c>
      <c r="Q24" s="80" t="s">
        <v>321</v>
      </c>
      <c r="R24" s="149" t="s">
        <v>1700</v>
      </c>
    </row>
    <row r="25" spans="1:18" hidden="1" x14ac:dyDescent="0.25">
      <c r="A25" s="151">
        <v>23</v>
      </c>
      <c r="B25" s="77" t="s">
        <v>41</v>
      </c>
      <c r="C25" s="77" t="s">
        <v>224</v>
      </c>
      <c r="D25" s="77" t="s">
        <v>42</v>
      </c>
      <c r="E25" s="77" t="s">
        <v>418</v>
      </c>
      <c r="F25" s="77"/>
      <c r="G25" s="78" t="s">
        <v>27</v>
      </c>
      <c r="H25" s="79" t="s">
        <v>413</v>
      </c>
      <c r="I25" s="78">
        <v>5310179813</v>
      </c>
      <c r="J25" s="77" t="s">
        <v>123</v>
      </c>
      <c r="K25" s="57">
        <v>36618</v>
      </c>
      <c r="L25" s="78" t="s">
        <v>566</v>
      </c>
      <c r="M25" s="78" t="s">
        <v>737</v>
      </c>
      <c r="N25" s="78" t="s">
        <v>940</v>
      </c>
      <c r="O25" s="78" t="s">
        <v>941</v>
      </c>
      <c r="P25" s="57" t="s">
        <v>275</v>
      </c>
      <c r="Q25" s="81" t="s">
        <v>322</v>
      </c>
      <c r="R25" s="149" t="s">
        <v>1700</v>
      </c>
    </row>
    <row r="26" spans="1:18" ht="15.75" thickBot="1" x14ac:dyDescent="0.3">
      <c r="A26" s="151">
        <v>24</v>
      </c>
      <c r="B26" s="77" t="s">
        <v>41</v>
      </c>
      <c r="C26" s="77" t="s">
        <v>224</v>
      </c>
      <c r="D26" s="77" t="s">
        <v>42</v>
      </c>
      <c r="E26" s="77" t="s">
        <v>418</v>
      </c>
      <c r="F26" s="77"/>
      <c r="G26" s="78" t="s">
        <v>27</v>
      </c>
      <c r="H26" s="79" t="s">
        <v>178</v>
      </c>
      <c r="I26" s="78">
        <v>5310179041</v>
      </c>
      <c r="J26" s="79" t="s">
        <v>140</v>
      </c>
      <c r="K26" s="77" t="s">
        <v>141</v>
      </c>
      <c r="L26" s="78" t="s">
        <v>567</v>
      </c>
      <c r="M26" s="78" t="s">
        <v>763</v>
      </c>
      <c r="N26" s="78" t="s">
        <v>456</v>
      </c>
      <c r="O26" s="78" t="s">
        <v>455</v>
      </c>
      <c r="P26" s="77" t="s">
        <v>269</v>
      </c>
      <c r="Q26" s="80" t="s">
        <v>323</v>
      </c>
      <c r="R26" s="149" t="s">
        <v>1700</v>
      </c>
    </row>
    <row r="27" spans="1:18" ht="15.75" thickBot="1" x14ac:dyDescent="0.3">
      <c r="A27" s="151">
        <v>25</v>
      </c>
      <c r="B27" s="115" t="s">
        <v>43</v>
      </c>
      <c r="C27" s="115" t="s">
        <v>1708</v>
      </c>
      <c r="D27" s="77" t="s">
        <v>45</v>
      </c>
      <c r="E27" s="80" t="s">
        <v>1664</v>
      </c>
      <c r="F27" s="80"/>
      <c r="G27" s="86" t="s">
        <v>27</v>
      </c>
      <c r="H27" s="79" t="s">
        <v>413</v>
      </c>
      <c r="I27" s="78">
        <v>5310179373</v>
      </c>
      <c r="J27" s="77" t="s">
        <v>1709</v>
      </c>
      <c r="K27" s="79">
        <v>78698</v>
      </c>
      <c r="L27" s="78" t="s">
        <v>1710</v>
      </c>
      <c r="M27" s="78" t="s">
        <v>19</v>
      </c>
      <c r="N27" s="78" t="s">
        <v>761</v>
      </c>
      <c r="O27" s="78" t="s">
        <v>458</v>
      </c>
      <c r="P27" s="77" t="s">
        <v>397</v>
      </c>
      <c r="Q27" s="80" t="s">
        <v>398</v>
      </c>
      <c r="R27" s="149" t="s">
        <v>1700</v>
      </c>
    </row>
    <row r="28" spans="1:18" x14ac:dyDescent="0.25">
      <c r="A28" s="151">
        <v>26</v>
      </c>
      <c r="B28" s="115" t="s">
        <v>44</v>
      </c>
      <c r="C28" s="115" t="s">
        <v>225</v>
      </c>
      <c r="D28" s="115" t="s">
        <v>45</v>
      </c>
      <c r="E28" s="115" t="s">
        <v>419</v>
      </c>
      <c r="F28" s="116"/>
      <c r="G28" s="86" t="s">
        <v>27</v>
      </c>
      <c r="H28" s="79" t="s">
        <v>178</v>
      </c>
      <c r="I28" s="78">
        <v>5310178731</v>
      </c>
      <c r="J28" s="77" t="s">
        <v>121</v>
      </c>
      <c r="K28" s="77" t="s">
        <v>122</v>
      </c>
      <c r="L28" s="78" t="s">
        <v>454</v>
      </c>
      <c r="M28" s="78" t="s">
        <v>34</v>
      </c>
      <c r="N28" s="78" t="s">
        <v>956</v>
      </c>
      <c r="O28" s="78" t="s">
        <v>957</v>
      </c>
      <c r="P28" s="77" t="s">
        <v>669</v>
      </c>
      <c r="Q28" s="80" t="s">
        <v>670</v>
      </c>
      <c r="R28" s="149" t="s">
        <v>1699</v>
      </c>
    </row>
    <row r="29" spans="1:18" hidden="1" x14ac:dyDescent="0.25">
      <c r="A29" s="151">
        <v>27</v>
      </c>
      <c r="B29" s="77" t="s">
        <v>44</v>
      </c>
      <c r="C29" s="77" t="s">
        <v>225</v>
      </c>
      <c r="D29" s="77" t="s">
        <v>45</v>
      </c>
      <c r="E29" s="77" t="s">
        <v>419</v>
      </c>
      <c r="F29" s="80"/>
      <c r="G29" s="86" t="s">
        <v>27</v>
      </c>
      <c r="H29" s="79" t="s">
        <v>413</v>
      </c>
      <c r="I29" s="78">
        <v>5310179687</v>
      </c>
      <c r="J29" s="77" t="s">
        <v>396</v>
      </c>
      <c r="K29" s="57">
        <v>55196</v>
      </c>
      <c r="L29" s="78" t="s">
        <v>457</v>
      </c>
      <c r="M29" s="78" t="s">
        <v>738</v>
      </c>
      <c r="N29" s="78" t="s">
        <v>453</v>
      </c>
      <c r="O29" s="78" t="s">
        <v>452</v>
      </c>
      <c r="P29" s="77" t="s">
        <v>685</v>
      </c>
      <c r="Q29" s="80" t="s">
        <v>686</v>
      </c>
      <c r="R29" s="149" t="s">
        <v>1700</v>
      </c>
    </row>
    <row r="30" spans="1:18" hidden="1" x14ac:dyDescent="0.25">
      <c r="A30" s="151">
        <v>28</v>
      </c>
      <c r="B30" s="77" t="s">
        <v>44</v>
      </c>
      <c r="C30" s="77" t="s">
        <v>225</v>
      </c>
      <c r="D30" s="77" t="s">
        <v>45</v>
      </c>
      <c r="E30" s="77" t="s">
        <v>419</v>
      </c>
      <c r="F30" s="80" t="s">
        <v>1664</v>
      </c>
      <c r="G30" s="86" t="s">
        <v>27</v>
      </c>
      <c r="H30" s="79" t="s">
        <v>413</v>
      </c>
      <c r="I30" s="78">
        <v>5310179592</v>
      </c>
      <c r="J30" s="77" t="s">
        <v>668</v>
      </c>
      <c r="K30" s="57">
        <v>70381</v>
      </c>
      <c r="L30" s="78" t="s">
        <v>604</v>
      </c>
      <c r="M30" s="78" t="s">
        <v>34</v>
      </c>
      <c r="N30" s="78" t="s">
        <v>453</v>
      </c>
      <c r="O30" s="78" t="s">
        <v>452</v>
      </c>
      <c r="P30" s="77" t="s">
        <v>689</v>
      </c>
      <c r="Q30" s="80" t="s">
        <v>690</v>
      </c>
      <c r="R30" s="149" t="s">
        <v>1699</v>
      </c>
    </row>
    <row r="31" spans="1:18" x14ac:dyDescent="0.25">
      <c r="A31" s="151">
        <v>29</v>
      </c>
      <c r="B31" s="77" t="s">
        <v>44</v>
      </c>
      <c r="C31" s="77" t="s">
        <v>225</v>
      </c>
      <c r="D31" s="77" t="s">
        <v>45</v>
      </c>
      <c r="E31" s="77" t="s">
        <v>419</v>
      </c>
      <c r="F31" s="80" t="s">
        <v>1664</v>
      </c>
      <c r="G31" s="86" t="s">
        <v>22</v>
      </c>
      <c r="H31" s="79" t="s">
        <v>178</v>
      </c>
      <c r="I31" s="78">
        <v>57526908</v>
      </c>
      <c r="J31" s="77" t="s">
        <v>683</v>
      </c>
      <c r="K31" s="57" t="s">
        <v>684</v>
      </c>
      <c r="L31" s="78" t="s">
        <v>603</v>
      </c>
      <c r="M31" s="78" t="s">
        <v>404</v>
      </c>
      <c r="N31" s="78" t="s">
        <v>461</v>
      </c>
      <c r="O31" s="78" t="s">
        <v>460</v>
      </c>
      <c r="P31" s="77" t="s">
        <v>270</v>
      </c>
      <c r="Q31" s="80" t="s">
        <v>324</v>
      </c>
      <c r="R31" s="149" t="s">
        <v>1700</v>
      </c>
    </row>
    <row r="32" spans="1:18" x14ac:dyDescent="0.25">
      <c r="A32" s="151">
        <v>30</v>
      </c>
      <c r="B32" s="77" t="s">
        <v>44</v>
      </c>
      <c r="C32" s="77" t="s">
        <v>225</v>
      </c>
      <c r="D32" s="77" t="s">
        <v>45</v>
      </c>
      <c r="E32" s="77" t="s">
        <v>419</v>
      </c>
      <c r="F32" s="80" t="s">
        <v>1664</v>
      </c>
      <c r="G32" s="86" t="s">
        <v>27</v>
      </c>
      <c r="H32" s="79" t="s">
        <v>178</v>
      </c>
      <c r="I32" s="78">
        <v>5310178723</v>
      </c>
      <c r="J32" s="78" t="s">
        <v>687</v>
      </c>
      <c r="K32" s="77" t="s">
        <v>688</v>
      </c>
      <c r="L32" s="78" t="s">
        <v>603</v>
      </c>
      <c r="M32" s="78" t="s">
        <v>404</v>
      </c>
      <c r="N32" s="78" t="s">
        <v>461</v>
      </c>
      <c r="O32" s="78" t="s">
        <v>460</v>
      </c>
      <c r="P32" s="77" t="s">
        <v>271</v>
      </c>
      <c r="Q32" s="80" t="s">
        <v>325</v>
      </c>
      <c r="R32" s="149" t="s">
        <v>1700</v>
      </c>
    </row>
    <row r="33" spans="1:18" ht="30" x14ac:dyDescent="0.25">
      <c r="A33" s="151">
        <v>31</v>
      </c>
      <c r="B33" s="77" t="s">
        <v>46</v>
      </c>
      <c r="C33" s="77" t="s">
        <v>226</v>
      </c>
      <c r="D33" s="77" t="s">
        <v>45</v>
      </c>
      <c r="E33" s="77" t="s">
        <v>420</v>
      </c>
      <c r="F33" s="77"/>
      <c r="G33" s="78" t="s">
        <v>27</v>
      </c>
      <c r="H33" s="79" t="s">
        <v>413</v>
      </c>
      <c r="I33" s="78">
        <v>5310179385</v>
      </c>
      <c r="J33" s="77" t="s">
        <v>48</v>
      </c>
      <c r="K33" s="57">
        <v>36057</v>
      </c>
      <c r="L33" s="82" t="s">
        <v>823</v>
      </c>
      <c r="M33" s="82" t="s">
        <v>739</v>
      </c>
      <c r="N33" s="78" t="s">
        <v>958</v>
      </c>
      <c r="O33" s="78" t="s">
        <v>959</v>
      </c>
      <c r="P33" s="77" t="s">
        <v>273</v>
      </c>
      <c r="Q33" s="80" t="s">
        <v>326</v>
      </c>
      <c r="R33" s="149" t="s">
        <v>1700</v>
      </c>
    </row>
    <row r="34" spans="1:18" ht="30" x14ac:dyDescent="0.25">
      <c r="A34" s="151">
        <v>32</v>
      </c>
      <c r="B34" s="77" t="s">
        <v>46</v>
      </c>
      <c r="C34" s="77" t="s">
        <v>226</v>
      </c>
      <c r="D34" s="77" t="s">
        <v>45</v>
      </c>
      <c r="E34" s="77" t="s">
        <v>420</v>
      </c>
      <c r="F34" s="77"/>
      <c r="G34" s="78" t="s">
        <v>22</v>
      </c>
      <c r="H34" s="79" t="s">
        <v>178</v>
      </c>
      <c r="I34" s="78">
        <v>57526904</v>
      </c>
      <c r="J34" s="77" t="s">
        <v>49</v>
      </c>
      <c r="K34" s="57" t="s">
        <v>50</v>
      </c>
      <c r="L34" s="82" t="s">
        <v>823</v>
      </c>
      <c r="M34" s="82" t="s">
        <v>739</v>
      </c>
      <c r="N34" s="78" t="s">
        <v>958</v>
      </c>
      <c r="O34" s="78" t="s">
        <v>959</v>
      </c>
      <c r="P34" s="77" t="s">
        <v>272</v>
      </c>
      <c r="Q34" s="80" t="s">
        <v>327</v>
      </c>
      <c r="R34" s="149" t="s">
        <v>1700</v>
      </c>
    </row>
    <row r="35" spans="1:18" ht="30" x14ac:dyDescent="0.25">
      <c r="A35" s="151">
        <v>33</v>
      </c>
      <c r="B35" s="77" t="s">
        <v>46</v>
      </c>
      <c r="C35" s="77" t="s">
        <v>226</v>
      </c>
      <c r="D35" s="77" t="s">
        <v>45</v>
      </c>
      <c r="E35" s="77" t="s">
        <v>420</v>
      </c>
      <c r="F35" s="77"/>
      <c r="G35" s="78" t="s">
        <v>27</v>
      </c>
      <c r="H35" s="79" t="s">
        <v>413</v>
      </c>
      <c r="I35" s="78">
        <v>5310179412</v>
      </c>
      <c r="J35" s="77" t="s">
        <v>47</v>
      </c>
      <c r="K35" s="57">
        <v>36035</v>
      </c>
      <c r="L35" s="82" t="s">
        <v>841</v>
      </c>
      <c r="M35" s="82" t="s">
        <v>19</v>
      </c>
      <c r="N35" s="78" t="s">
        <v>617</v>
      </c>
      <c r="O35" s="78" t="s">
        <v>618</v>
      </c>
      <c r="P35" s="77" t="s">
        <v>204</v>
      </c>
      <c r="Q35" s="80" t="s">
        <v>328</v>
      </c>
      <c r="R35" s="149" t="s">
        <v>1700</v>
      </c>
    </row>
    <row r="36" spans="1:18" ht="30" x14ac:dyDescent="0.25">
      <c r="A36" s="151">
        <v>34</v>
      </c>
      <c r="B36" s="77" t="s">
        <v>46</v>
      </c>
      <c r="C36" s="77" t="s">
        <v>226</v>
      </c>
      <c r="D36" s="77" t="s">
        <v>45</v>
      </c>
      <c r="E36" s="77" t="s">
        <v>420</v>
      </c>
      <c r="F36" s="77"/>
      <c r="G36" s="78" t="s">
        <v>22</v>
      </c>
      <c r="H36" s="79" t="s">
        <v>178</v>
      </c>
      <c r="I36" s="78">
        <v>57526860</v>
      </c>
      <c r="J36" s="77" t="s">
        <v>51</v>
      </c>
      <c r="K36" s="57" t="s">
        <v>52</v>
      </c>
      <c r="L36" s="82" t="s">
        <v>824</v>
      </c>
      <c r="M36" s="82" t="s">
        <v>19</v>
      </c>
      <c r="N36" s="78" t="s">
        <v>617</v>
      </c>
      <c r="O36" s="78" t="s">
        <v>618</v>
      </c>
      <c r="P36" s="77" t="s">
        <v>203</v>
      </c>
      <c r="Q36" s="80" t="s">
        <v>329</v>
      </c>
      <c r="R36" s="149" t="s">
        <v>1700</v>
      </c>
    </row>
    <row r="37" spans="1:18" x14ac:dyDescent="0.25">
      <c r="A37" s="151">
        <v>35</v>
      </c>
      <c r="B37" s="77" t="s">
        <v>53</v>
      </c>
      <c r="C37" s="77" t="s">
        <v>227</v>
      </c>
      <c r="D37" s="77" t="s">
        <v>54</v>
      </c>
      <c r="E37" s="77" t="s">
        <v>421</v>
      </c>
      <c r="F37" s="77"/>
      <c r="G37" s="78" t="s">
        <v>22</v>
      </c>
      <c r="H37" s="79" t="s">
        <v>178</v>
      </c>
      <c r="I37" s="78">
        <v>57526895</v>
      </c>
      <c r="J37" s="77" t="s">
        <v>55</v>
      </c>
      <c r="K37" s="57" t="s">
        <v>56</v>
      </c>
      <c r="L37" s="78" t="s">
        <v>843</v>
      </c>
      <c r="M37" s="78" t="s">
        <v>752</v>
      </c>
      <c r="N37" s="79" t="s">
        <v>846</v>
      </c>
      <c r="O37" s="79" t="s">
        <v>847</v>
      </c>
      <c r="P37" s="77" t="s">
        <v>207</v>
      </c>
      <c r="Q37" s="80" t="s">
        <v>330</v>
      </c>
      <c r="R37" s="149" t="s">
        <v>1700</v>
      </c>
    </row>
    <row r="38" spans="1:18" x14ac:dyDescent="0.25">
      <c r="A38" s="151">
        <v>36</v>
      </c>
      <c r="B38" s="77" t="s">
        <v>53</v>
      </c>
      <c r="C38" s="77" t="s">
        <v>227</v>
      </c>
      <c r="D38" s="77" t="s">
        <v>54</v>
      </c>
      <c r="E38" s="77" t="s">
        <v>421</v>
      </c>
      <c r="F38" s="77"/>
      <c r="G38" s="78" t="s">
        <v>27</v>
      </c>
      <c r="H38" s="79" t="s">
        <v>413</v>
      </c>
      <c r="I38" s="78">
        <v>5310179574</v>
      </c>
      <c r="J38" s="77" t="s">
        <v>120</v>
      </c>
      <c r="K38" s="57">
        <v>36592</v>
      </c>
      <c r="L38" s="78" t="s">
        <v>843</v>
      </c>
      <c r="M38" s="78" t="s">
        <v>752</v>
      </c>
      <c r="N38" s="78" t="s">
        <v>753</v>
      </c>
      <c r="O38" s="78" t="s">
        <v>754</v>
      </c>
      <c r="P38" s="77" t="s">
        <v>205</v>
      </c>
      <c r="Q38" s="80" t="s">
        <v>331</v>
      </c>
      <c r="R38" s="149" t="s">
        <v>1700</v>
      </c>
    </row>
    <row r="39" spans="1:18" hidden="1" x14ac:dyDescent="0.25">
      <c r="A39" s="151">
        <v>37</v>
      </c>
      <c r="B39" s="77" t="s">
        <v>57</v>
      </c>
      <c r="C39" s="77" t="s">
        <v>228</v>
      </c>
      <c r="D39" s="77" t="s">
        <v>54</v>
      </c>
      <c r="E39" s="77" t="s">
        <v>422</v>
      </c>
      <c r="F39" s="77"/>
      <c r="G39" s="78" t="s">
        <v>27</v>
      </c>
      <c r="H39" s="79" t="s">
        <v>413</v>
      </c>
      <c r="I39" s="78">
        <v>5310179567</v>
      </c>
      <c r="J39" s="77" t="s">
        <v>59</v>
      </c>
      <c r="K39" s="57">
        <v>36186</v>
      </c>
      <c r="L39" s="156" t="s">
        <v>845</v>
      </c>
      <c r="M39" s="57" t="s">
        <v>844</v>
      </c>
      <c r="N39" s="79" t="s">
        <v>938</v>
      </c>
      <c r="O39" s="79" t="s">
        <v>939</v>
      </c>
      <c r="P39" s="77" t="s">
        <v>206</v>
      </c>
      <c r="Q39" s="80" t="s">
        <v>332</v>
      </c>
      <c r="R39" s="149" t="s">
        <v>1700</v>
      </c>
    </row>
    <row r="40" spans="1:18" x14ac:dyDescent="0.25">
      <c r="A40" s="151">
        <v>38</v>
      </c>
      <c r="B40" s="77" t="s">
        <v>57</v>
      </c>
      <c r="C40" s="77" t="s">
        <v>228</v>
      </c>
      <c r="D40" s="77" t="s">
        <v>54</v>
      </c>
      <c r="E40" s="77" t="s">
        <v>422</v>
      </c>
      <c r="F40" s="77"/>
      <c r="G40" s="78" t="s">
        <v>27</v>
      </c>
      <c r="H40" s="79" t="s">
        <v>413</v>
      </c>
      <c r="I40" s="78">
        <v>5310179358</v>
      </c>
      <c r="J40" s="77" t="s">
        <v>58</v>
      </c>
      <c r="K40" s="57">
        <v>36154</v>
      </c>
      <c r="L40" s="78" t="s">
        <v>848</v>
      </c>
      <c r="M40" s="78" t="s">
        <v>620</v>
      </c>
      <c r="N40" s="78" t="s">
        <v>850</v>
      </c>
      <c r="O40" s="78" t="s">
        <v>851</v>
      </c>
      <c r="P40" s="77" t="s">
        <v>209</v>
      </c>
      <c r="Q40" s="80" t="s">
        <v>333</v>
      </c>
      <c r="R40" s="149" t="s">
        <v>1699</v>
      </c>
    </row>
    <row r="41" spans="1:18" hidden="1" x14ac:dyDescent="0.25">
      <c r="A41" s="151">
        <v>39</v>
      </c>
      <c r="B41" s="77" t="s">
        <v>57</v>
      </c>
      <c r="C41" s="77" t="s">
        <v>228</v>
      </c>
      <c r="D41" s="77" t="s">
        <v>54</v>
      </c>
      <c r="E41" s="77" t="s">
        <v>422</v>
      </c>
      <c r="F41" s="77"/>
      <c r="G41" s="78" t="s">
        <v>27</v>
      </c>
      <c r="H41" s="79" t="s">
        <v>413</v>
      </c>
      <c r="I41" s="78">
        <v>5310179436</v>
      </c>
      <c r="J41" s="77" t="s">
        <v>180</v>
      </c>
      <c r="K41" s="57">
        <v>48709</v>
      </c>
      <c r="L41" s="78" t="s">
        <v>849</v>
      </c>
      <c r="M41" s="78" t="s">
        <v>619</v>
      </c>
      <c r="N41" s="78" t="s">
        <v>868</v>
      </c>
      <c r="O41" s="78" t="s">
        <v>869</v>
      </c>
      <c r="P41" s="77" t="s">
        <v>211</v>
      </c>
      <c r="Q41" s="80" t="s">
        <v>334</v>
      </c>
      <c r="R41" s="149" t="s">
        <v>1700</v>
      </c>
    </row>
    <row r="42" spans="1:18" hidden="1" x14ac:dyDescent="0.25">
      <c r="A42" s="151">
        <v>40</v>
      </c>
      <c r="B42" s="77" t="s">
        <v>60</v>
      </c>
      <c r="C42" s="77" t="s">
        <v>229</v>
      </c>
      <c r="D42" s="77" t="s">
        <v>510</v>
      </c>
      <c r="E42" s="77" t="s">
        <v>423</v>
      </c>
      <c r="F42" s="77"/>
      <c r="G42" s="78" t="s">
        <v>31</v>
      </c>
      <c r="H42" s="79" t="s">
        <v>413</v>
      </c>
      <c r="I42" s="78">
        <v>5310137971</v>
      </c>
      <c r="J42" s="77" t="s">
        <v>61</v>
      </c>
      <c r="K42" s="57">
        <v>32143</v>
      </c>
      <c r="L42" s="78" t="s">
        <v>476</v>
      </c>
      <c r="M42" s="78" t="s">
        <v>825</v>
      </c>
      <c r="N42" s="78" t="s">
        <v>1695</v>
      </c>
      <c r="O42" s="78" t="s">
        <v>1696</v>
      </c>
      <c r="P42" s="77" t="s">
        <v>210</v>
      </c>
      <c r="Q42" s="80" t="s">
        <v>335</v>
      </c>
      <c r="R42" s="149" t="s">
        <v>1699</v>
      </c>
    </row>
    <row r="43" spans="1:18" x14ac:dyDescent="0.25">
      <c r="A43" s="151">
        <v>41</v>
      </c>
      <c r="B43" s="77" t="s">
        <v>60</v>
      </c>
      <c r="C43" s="77" t="s">
        <v>229</v>
      </c>
      <c r="D43" s="77" t="s">
        <v>510</v>
      </c>
      <c r="E43" s="77" t="s">
        <v>423</v>
      </c>
      <c r="F43" s="77"/>
      <c r="G43" s="78" t="s">
        <v>27</v>
      </c>
      <c r="H43" s="79" t="s">
        <v>413</v>
      </c>
      <c r="I43" s="78">
        <v>5310179488</v>
      </c>
      <c r="J43" s="77" t="s">
        <v>63</v>
      </c>
      <c r="K43" s="57">
        <v>35836</v>
      </c>
      <c r="L43" s="78" t="s">
        <v>880</v>
      </c>
      <c r="M43" s="78" t="s">
        <v>129</v>
      </c>
      <c r="N43" s="78" t="s">
        <v>850</v>
      </c>
      <c r="O43" s="78" t="s">
        <v>851</v>
      </c>
      <c r="P43" s="77" t="s">
        <v>208</v>
      </c>
      <c r="Q43" s="80" t="s">
        <v>336</v>
      </c>
      <c r="R43" s="149" t="s">
        <v>1699</v>
      </c>
    </row>
    <row r="44" spans="1:18" hidden="1" x14ac:dyDescent="0.25">
      <c r="A44" s="151">
        <v>42</v>
      </c>
      <c r="B44" s="77" t="s">
        <v>60</v>
      </c>
      <c r="C44" s="77" t="s">
        <v>229</v>
      </c>
      <c r="D44" s="77" t="s">
        <v>510</v>
      </c>
      <c r="E44" s="77" t="s">
        <v>423</v>
      </c>
      <c r="F44" s="77"/>
      <c r="G44" s="78" t="s">
        <v>31</v>
      </c>
      <c r="H44" s="79" t="s">
        <v>413</v>
      </c>
      <c r="I44" s="78">
        <v>5310137954</v>
      </c>
      <c r="J44" s="77" t="s">
        <v>62</v>
      </c>
      <c r="K44" s="57">
        <v>32144</v>
      </c>
      <c r="L44" s="78" t="s">
        <v>1693</v>
      </c>
      <c r="M44" s="78" t="s">
        <v>1694</v>
      </c>
      <c r="N44" s="78" t="s">
        <v>960</v>
      </c>
      <c r="O44" s="78" t="s">
        <v>961</v>
      </c>
      <c r="P44" s="77" t="s">
        <v>212</v>
      </c>
      <c r="Q44" s="80" t="s">
        <v>337</v>
      </c>
      <c r="R44" s="149" t="s">
        <v>1699</v>
      </c>
    </row>
    <row r="45" spans="1:18" hidden="1" x14ac:dyDescent="0.25">
      <c r="A45" s="151">
        <v>43</v>
      </c>
      <c r="B45" s="77" t="s">
        <v>60</v>
      </c>
      <c r="C45" s="77" t="s">
        <v>229</v>
      </c>
      <c r="D45" s="77" t="s">
        <v>510</v>
      </c>
      <c r="E45" s="77" t="s">
        <v>423</v>
      </c>
      <c r="F45" s="77"/>
      <c r="G45" s="78" t="s">
        <v>27</v>
      </c>
      <c r="H45" s="79" t="s">
        <v>178</v>
      </c>
      <c r="I45" s="78">
        <v>5310179032</v>
      </c>
      <c r="J45" s="78" t="s">
        <v>109</v>
      </c>
      <c r="K45" s="77" t="s">
        <v>110</v>
      </c>
      <c r="L45" s="78" t="s">
        <v>476</v>
      </c>
      <c r="M45" s="78" t="s">
        <v>825</v>
      </c>
      <c r="N45" s="78" t="s">
        <v>827</v>
      </c>
      <c r="O45" s="78" t="s">
        <v>828</v>
      </c>
      <c r="P45" s="77" t="s">
        <v>262</v>
      </c>
      <c r="Q45" s="80" t="s">
        <v>338</v>
      </c>
      <c r="R45" s="149" t="s">
        <v>1700</v>
      </c>
    </row>
    <row r="46" spans="1:18" hidden="1" x14ac:dyDescent="0.25">
      <c r="A46" s="151">
        <v>44</v>
      </c>
      <c r="B46" s="77" t="s">
        <v>60</v>
      </c>
      <c r="C46" s="77" t="s">
        <v>229</v>
      </c>
      <c r="D46" s="77" t="s">
        <v>510</v>
      </c>
      <c r="E46" s="77" t="s">
        <v>423</v>
      </c>
      <c r="F46" s="77"/>
      <c r="G46" s="78" t="s">
        <v>31</v>
      </c>
      <c r="H46" s="79" t="s">
        <v>413</v>
      </c>
      <c r="I46" s="78">
        <v>5310137814</v>
      </c>
      <c r="J46" s="77" t="s">
        <v>184</v>
      </c>
      <c r="K46" s="57">
        <v>49682</v>
      </c>
      <c r="L46" s="78" t="s">
        <v>477</v>
      </c>
      <c r="M46" s="78" t="s">
        <v>826</v>
      </c>
      <c r="N46" s="78" t="s">
        <v>827</v>
      </c>
      <c r="O46" s="78" t="s">
        <v>828</v>
      </c>
      <c r="P46" s="57" t="s">
        <v>263</v>
      </c>
      <c r="Q46" s="81" t="s">
        <v>339</v>
      </c>
      <c r="R46" s="149" t="s">
        <v>1700</v>
      </c>
    </row>
    <row r="47" spans="1:18" hidden="1" x14ac:dyDescent="0.25">
      <c r="A47" s="151">
        <v>45</v>
      </c>
      <c r="B47" s="77" t="s">
        <v>64</v>
      </c>
      <c r="C47" s="77" t="s">
        <v>230</v>
      </c>
      <c r="D47" s="77" t="s">
        <v>32</v>
      </c>
      <c r="E47" s="77" t="s">
        <v>424</v>
      </c>
      <c r="F47" s="77"/>
      <c r="G47" s="78" t="s">
        <v>22</v>
      </c>
      <c r="H47" s="79" t="s">
        <v>178</v>
      </c>
      <c r="I47" s="78">
        <v>57526897</v>
      </c>
      <c r="J47" s="77" t="s">
        <v>66</v>
      </c>
      <c r="K47" s="57" t="s">
        <v>67</v>
      </c>
      <c r="L47" s="78" t="s">
        <v>528</v>
      </c>
      <c r="M47" s="78" t="s">
        <v>34</v>
      </c>
      <c r="N47" s="78" t="s">
        <v>1673</v>
      </c>
      <c r="O47" s="78" t="s">
        <v>1674</v>
      </c>
      <c r="P47" s="77" t="s">
        <v>264</v>
      </c>
      <c r="Q47" s="80" t="s">
        <v>340</v>
      </c>
      <c r="R47" s="149" t="s">
        <v>1700</v>
      </c>
    </row>
    <row r="48" spans="1:18" hidden="1" x14ac:dyDescent="0.25">
      <c r="A48" s="151">
        <v>46</v>
      </c>
      <c r="B48" s="77" t="s">
        <v>64</v>
      </c>
      <c r="C48" s="77" t="s">
        <v>230</v>
      </c>
      <c r="D48" s="77" t="s">
        <v>32</v>
      </c>
      <c r="E48" s="77" t="s">
        <v>424</v>
      </c>
      <c r="F48" s="77"/>
      <c r="G48" s="78" t="s">
        <v>27</v>
      </c>
      <c r="H48" s="79" t="s">
        <v>178</v>
      </c>
      <c r="I48" s="78">
        <v>5310179008</v>
      </c>
      <c r="J48" s="79" t="s">
        <v>142</v>
      </c>
      <c r="K48" s="57" t="s">
        <v>143</v>
      </c>
      <c r="L48" s="78" t="s">
        <v>528</v>
      </c>
      <c r="M48" s="78" t="s">
        <v>34</v>
      </c>
      <c r="N48" s="78" t="s">
        <v>904</v>
      </c>
      <c r="O48" s="78" t="s">
        <v>905</v>
      </c>
      <c r="P48" s="77" t="s">
        <v>278</v>
      </c>
      <c r="Q48" s="80" t="s">
        <v>341</v>
      </c>
      <c r="R48" s="149" t="s">
        <v>1700</v>
      </c>
    </row>
    <row r="49" spans="1:18" hidden="1" x14ac:dyDescent="0.25">
      <c r="A49" s="151">
        <v>47</v>
      </c>
      <c r="B49" s="77" t="s">
        <v>64</v>
      </c>
      <c r="C49" s="77" t="s">
        <v>230</v>
      </c>
      <c r="D49" s="77" t="s">
        <v>32</v>
      </c>
      <c r="E49" s="77" t="s">
        <v>424</v>
      </c>
      <c r="F49" s="77"/>
      <c r="G49" s="78" t="s">
        <v>27</v>
      </c>
      <c r="H49" s="79" t="s">
        <v>413</v>
      </c>
      <c r="I49" s="78">
        <v>5310179408</v>
      </c>
      <c r="J49" s="77" t="s">
        <v>65</v>
      </c>
      <c r="K49" s="57">
        <v>36340</v>
      </c>
      <c r="L49" s="78" t="s">
        <v>1671</v>
      </c>
      <c r="M49" s="78" t="s">
        <v>1672</v>
      </c>
      <c r="N49" s="78" t="s">
        <v>906</v>
      </c>
      <c r="O49" s="78" t="s">
        <v>907</v>
      </c>
      <c r="P49" s="77" t="s">
        <v>276</v>
      </c>
      <c r="Q49" s="80" t="s">
        <v>342</v>
      </c>
      <c r="R49" s="149" t="s">
        <v>1700</v>
      </c>
    </row>
    <row r="50" spans="1:18" x14ac:dyDescent="0.25">
      <c r="A50" s="151">
        <v>48</v>
      </c>
      <c r="B50" s="77" t="s">
        <v>68</v>
      </c>
      <c r="C50" s="77" t="s">
        <v>231</v>
      </c>
      <c r="D50" s="77" t="s">
        <v>509</v>
      </c>
      <c r="E50" s="77" t="s">
        <v>425</v>
      </c>
      <c r="F50" s="77"/>
      <c r="G50" s="78" t="s">
        <v>22</v>
      </c>
      <c r="H50" s="79" t="s">
        <v>178</v>
      </c>
      <c r="I50" s="78">
        <v>57526910</v>
      </c>
      <c r="J50" s="77" t="s">
        <v>70</v>
      </c>
      <c r="K50" s="57" t="s">
        <v>71</v>
      </c>
      <c r="L50" s="78" t="s">
        <v>1688</v>
      </c>
      <c r="M50" s="77" t="s">
        <v>19</v>
      </c>
      <c r="N50" s="78" t="s">
        <v>810</v>
      </c>
      <c r="O50" s="78" t="s">
        <v>811</v>
      </c>
      <c r="P50" s="57" t="s">
        <v>277</v>
      </c>
      <c r="Q50" s="81" t="s">
        <v>343</v>
      </c>
      <c r="R50" s="149" t="s">
        <v>1700</v>
      </c>
    </row>
    <row r="51" spans="1:18" hidden="1" x14ac:dyDescent="0.25">
      <c r="A51" s="151">
        <v>49</v>
      </c>
      <c r="B51" s="77" t="s">
        <v>68</v>
      </c>
      <c r="C51" s="77" t="s">
        <v>231</v>
      </c>
      <c r="D51" s="77" t="s">
        <v>509</v>
      </c>
      <c r="E51" s="77" t="s">
        <v>425</v>
      </c>
      <c r="F51" s="77"/>
      <c r="G51" s="78" t="s">
        <v>27</v>
      </c>
      <c r="H51" s="79" t="s">
        <v>413</v>
      </c>
      <c r="I51" s="78">
        <v>5310179771</v>
      </c>
      <c r="J51" s="77" t="s">
        <v>69</v>
      </c>
      <c r="K51" s="57">
        <v>36328</v>
      </c>
      <c r="L51" s="77" t="s">
        <v>908</v>
      </c>
      <c r="M51" s="77" t="s">
        <v>909</v>
      </c>
      <c r="N51" s="78" t="s">
        <v>945</v>
      </c>
      <c r="O51" s="78" t="s">
        <v>946</v>
      </c>
      <c r="P51" s="77" t="s">
        <v>282</v>
      </c>
      <c r="Q51" s="80" t="s">
        <v>344</v>
      </c>
      <c r="R51" s="148" t="s">
        <v>1700</v>
      </c>
    </row>
    <row r="52" spans="1:18" hidden="1" x14ac:dyDescent="0.25">
      <c r="A52" s="151">
        <v>50</v>
      </c>
      <c r="B52" s="77" t="s">
        <v>68</v>
      </c>
      <c r="C52" s="77" t="s">
        <v>231</v>
      </c>
      <c r="D52" s="77" t="s">
        <v>509</v>
      </c>
      <c r="E52" s="77" t="s">
        <v>425</v>
      </c>
      <c r="F52" s="77"/>
      <c r="G52" s="78" t="s">
        <v>27</v>
      </c>
      <c r="H52" s="79" t="s">
        <v>413</v>
      </c>
      <c r="I52" s="78">
        <v>5310179760</v>
      </c>
      <c r="J52" s="57" t="s">
        <v>144</v>
      </c>
      <c r="K52" s="57">
        <v>36713</v>
      </c>
      <c r="L52" s="77" t="s">
        <v>1689</v>
      </c>
      <c r="M52" s="77" t="s">
        <v>809</v>
      </c>
      <c r="N52" s="78" t="s">
        <v>947</v>
      </c>
      <c r="O52" s="78" t="s">
        <v>948</v>
      </c>
      <c r="P52" s="77" t="s">
        <v>281</v>
      </c>
      <c r="Q52" s="80" t="s">
        <v>345</v>
      </c>
      <c r="R52" s="148" t="s">
        <v>1700</v>
      </c>
    </row>
    <row r="53" spans="1:18" hidden="1" x14ac:dyDescent="0.25">
      <c r="A53" s="151">
        <v>51</v>
      </c>
      <c r="B53" s="77" t="s">
        <v>73</v>
      </c>
      <c r="C53" s="77" t="s">
        <v>232</v>
      </c>
      <c r="D53" s="77" t="s">
        <v>77</v>
      </c>
      <c r="E53" s="77" t="s">
        <v>427</v>
      </c>
      <c r="F53" s="77"/>
      <c r="G53" s="78" t="s">
        <v>27</v>
      </c>
      <c r="H53" s="79" t="s">
        <v>413</v>
      </c>
      <c r="I53" s="78">
        <v>5310179716</v>
      </c>
      <c r="J53" s="77" t="s">
        <v>81</v>
      </c>
      <c r="K53" s="57">
        <v>36377</v>
      </c>
      <c r="L53" s="78" t="s">
        <v>773</v>
      </c>
      <c r="M53" s="78" t="s">
        <v>78</v>
      </c>
      <c r="N53" s="78" t="s">
        <v>949</v>
      </c>
      <c r="O53" s="78" t="s">
        <v>950</v>
      </c>
      <c r="P53" s="77" t="s">
        <v>280</v>
      </c>
      <c r="Q53" s="80" t="s">
        <v>346</v>
      </c>
      <c r="R53" s="148" t="s">
        <v>1700</v>
      </c>
    </row>
    <row r="54" spans="1:18" hidden="1" x14ac:dyDescent="0.25">
      <c r="A54" s="151">
        <v>52</v>
      </c>
      <c r="B54" s="77" t="s">
        <v>73</v>
      </c>
      <c r="C54" s="77" t="s">
        <v>232</v>
      </c>
      <c r="D54" s="77" t="s">
        <v>77</v>
      </c>
      <c r="E54" s="77" t="s">
        <v>427</v>
      </c>
      <c r="F54" s="77"/>
      <c r="G54" s="78" t="s">
        <v>27</v>
      </c>
      <c r="H54" s="79" t="s">
        <v>413</v>
      </c>
      <c r="I54" s="78">
        <v>5310179720</v>
      </c>
      <c r="J54" s="77" t="s">
        <v>80</v>
      </c>
      <c r="K54" s="57">
        <v>36376</v>
      </c>
      <c r="L54" s="78" t="s">
        <v>74</v>
      </c>
      <c r="M54" s="78" t="s">
        <v>84</v>
      </c>
      <c r="N54" s="78" t="s">
        <v>951</v>
      </c>
      <c r="O54" s="78" t="s">
        <v>952</v>
      </c>
      <c r="P54" s="77" t="s">
        <v>279</v>
      </c>
      <c r="Q54" s="80" t="s">
        <v>347</v>
      </c>
      <c r="R54" s="148" t="s">
        <v>1700</v>
      </c>
    </row>
    <row r="55" spans="1:18" hidden="1" x14ac:dyDescent="0.25">
      <c r="A55" s="151">
        <v>53</v>
      </c>
      <c r="B55" s="77" t="s">
        <v>73</v>
      </c>
      <c r="C55" s="77" t="s">
        <v>232</v>
      </c>
      <c r="D55" s="77" t="s">
        <v>77</v>
      </c>
      <c r="E55" s="77" t="s">
        <v>427</v>
      </c>
      <c r="F55" s="77"/>
      <c r="G55" s="78" t="s">
        <v>27</v>
      </c>
      <c r="H55" s="79" t="s">
        <v>413</v>
      </c>
      <c r="I55" s="78">
        <v>5310179776</v>
      </c>
      <c r="J55" s="77" t="s">
        <v>79</v>
      </c>
      <c r="K55" s="57">
        <v>36375</v>
      </c>
      <c r="L55" s="78" t="s">
        <v>773</v>
      </c>
      <c r="M55" s="78" t="s">
        <v>78</v>
      </c>
      <c r="N55" s="78" t="s">
        <v>951</v>
      </c>
      <c r="O55" s="78" t="s">
        <v>952</v>
      </c>
      <c r="P55" s="77" t="s">
        <v>284</v>
      </c>
      <c r="Q55" s="80" t="s">
        <v>348</v>
      </c>
      <c r="R55" s="148" t="s">
        <v>1700</v>
      </c>
    </row>
    <row r="56" spans="1:18" hidden="1" x14ac:dyDescent="0.25">
      <c r="A56" s="151">
        <v>54</v>
      </c>
      <c r="B56" s="77" t="s">
        <v>73</v>
      </c>
      <c r="C56" s="77" t="s">
        <v>232</v>
      </c>
      <c r="D56" s="77" t="s">
        <v>77</v>
      </c>
      <c r="E56" s="77" t="s">
        <v>427</v>
      </c>
      <c r="F56" s="77"/>
      <c r="G56" s="78" t="s">
        <v>27</v>
      </c>
      <c r="H56" s="79" t="s">
        <v>413</v>
      </c>
      <c r="I56" s="78">
        <v>5310179449</v>
      </c>
      <c r="J56" s="77" t="s">
        <v>76</v>
      </c>
      <c r="K56" s="57">
        <v>35959</v>
      </c>
      <c r="L56" s="78" t="s">
        <v>75</v>
      </c>
      <c r="M56" s="78" t="s">
        <v>518</v>
      </c>
      <c r="N56" s="78" t="s">
        <v>947</v>
      </c>
      <c r="O56" s="78" t="s">
        <v>948</v>
      </c>
      <c r="P56" s="77" t="s">
        <v>285</v>
      </c>
      <c r="Q56" s="80" t="s">
        <v>349</v>
      </c>
      <c r="R56" s="148" t="s">
        <v>1700</v>
      </c>
    </row>
    <row r="57" spans="1:18" hidden="1" x14ac:dyDescent="0.25">
      <c r="A57" s="151">
        <v>55</v>
      </c>
      <c r="B57" s="77" t="s">
        <v>73</v>
      </c>
      <c r="C57" s="77" t="s">
        <v>232</v>
      </c>
      <c r="D57" s="77" t="s">
        <v>77</v>
      </c>
      <c r="E57" s="77" t="s">
        <v>427</v>
      </c>
      <c r="F57" s="77"/>
      <c r="G57" s="78" t="s">
        <v>27</v>
      </c>
      <c r="H57" s="79" t="s">
        <v>178</v>
      </c>
      <c r="I57" s="78">
        <v>5310179058</v>
      </c>
      <c r="J57" s="78" t="s">
        <v>85</v>
      </c>
      <c r="K57" s="57" t="s">
        <v>86</v>
      </c>
      <c r="L57" s="78" t="s">
        <v>75</v>
      </c>
      <c r="M57" s="78" t="s">
        <v>518</v>
      </c>
      <c r="N57" s="78" t="s">
        <v>947</v>
      </c>
      <c r="O57" s="78" t="s">
        <v>948</v>
      </c>
      <c r="P57" s="57" t="s">
        <v>283</v>
      </c>
      <c r="Q57" s="81" t="s">
        <v>350</v>
      </c>
      <c r="R57" s="148" t="s">
        <v>1700</v>
      </c>
    </row>
    <row r="58" spans="1:18" hidden="1" x14ac:dyDescent="0.25">
      <c r="A58" s="151">
        <v>56</v>
      </c>
      <c r="B58" s="77" t="s">
        <v>73</v>
      </c>
      <c r="C58" s="77" t="s">
        <v>232</v>
      </c>
      <c r="D58" s="77" t="s">
        <v>77</v>
      </c>
      <c r="E58" s="77" t="s">
        <v>427</v>
      </c>
      <c r="F58" s="77"/>
      <c r="G58" s="78" t="s">
        <v>22</v>
      </c>
      <c r="H58" s="79" t="s">
        <v>178</v>
      </c>
      <c r="I58" s="78">
        <v>57526899</v>
      </c>
      <c r="J58" s="78" t="s">
        <v>82</v>
      </c>
      <c r="K58" s="57" t="s">
        <v>83</v>
      </c>
      <c r="L58" s="78" t="s">
        <v>74</v>
      </c>
      <c r="M58" s="78" t="s">
        <v>84</v>
      </c>
      <c r="N58" s="78" t="s">
        <v>486</v>
      </c>
      <c r="O58" s="78" t="s">
        <v>485</v>
      </c>
      <c r="P58" s="77" t="s">
        <v>215</v>
      </c>
      <c r="Q58" s="80" t="s">
        <v>351</v>
      </c>
      <c r="R58" s="148" t="s">
        <v>1700</v>
      </c>
    </row>
    <row r="59" spans="1:18" hidden="1" x14ac:dyDescent="0.25">
      <c r="A59" s="151">
        <v>57</v>
      </c>
      <c r="B59" s="77" t="s">
        <v>73</v>
      </c>
      <c r="C59" s="77" t="s">
        <v>232</v>
      </c>
      <c r="D59" s="77" t="s">
        <v>77</v>
      </c>
      <c r="E59" s="77" t="s">
        <v>427</v>
      </c>
      <c r="F59" s="77"/>
      <c r="G59" s="79" t="s">
        <v>27</v>
      </c>
      <c r="H59" s="79" t="s">
        <v>413</v>
      </c>
      <c r="I59" s="79">
        <v>5310179707</v>
      </c>
      <c r="J59" s="57" t="s">
        <v>168</v>
      </c>
      <c r="K59" s="57">
        <v>36977</v>
      </c>
      <c r="L59" s="78" t="s">
        <v>74</v>
      </c>
      <c r="M59" s="78" t="s">
        <v>84</v>
      </c>
      <c r="N59" s="78" t="s">
        <v>933</v>
      </c>
      <c r="O59" s="78" t="s">
        <v>934</v>
      </c>
      <c r="P59" s="77" t="s">
        <v>213</v>
      </c>
      <c r="Q59" s="80" t="s">
        <v>352</v>
      </c>
      <c r="R59" s="148" t="s">
        <v>1700</v>
      </c>
    </row>
    <row r="60" spans="1:18" hidden="1" x14ac:dyDescent="0.25">
      <c r="A60" s="151">
        <v>58</v>
      </c>
      <c r="B60" s="77" t="s">
        <v>88</v>
      </c>
      <c r="C60" s="77" t="s">
        <v>233</v>
      </c>
      <c r="D60" s="77" t="s">
        <v>54</v>
      </c>
      <c r="E60" s="77" t="s">
        <v>412</v>
      </c>
      <c r="F60" s="77"/>
      <c r="G60" s="78" t="s">
        <v>22</v>
      </c>
      <c r="H60" s="79" t="s">
        <v>178</v>
      </c>
      <c r="I60" s="78">
        <v>57526884</v>
      </c>
      <c r="J60" s="77" t="s">
        <v>91</v>
      </c>
      <c r="K60" s="57" t="s">
        <v>92</v>
      </c>
      <c r="L60" s="78" t="s">
        <v>932</v>
      </c>
      <c r="M60" s="78" t="s">
        <v>535</v>
      </c>
      <c r="N60" s="78" t="s">
        <v>935</v>
      </c>
      <c r="O60" s="78" t="s">
        <v>936</v>
      </c>
      <c r="P60" s="77" t="s">
        <v>214</v>
      </c>
      <c r="Q60" s="80" t="s">
        <v>353</v>
      </c>
      <c r="R60" s="148" t="s">
        <v>1700</v>
      </c>
    </row>
    <row r="61" spans="1:18" hidden="1" x14ac:dyDescent="0.25">
      <c r="A61" s="151">
        <v>59</v>
      </c>
      <c r="B61" s="77" t="s">
        <v>88</v>
      </c>
      <c r="C61" s="77" t="s">
        <v>233</v>
      </c>
      <c r="D61" s="77" t="s">
        <v>54</v>
      </c>
      <c r="E61" s="77" t="s">
        <v>412</v>
      </c>
      <c r="F61" s="77"/>
      <c r="G61" s="78" t="s">
        <v>27</v>
      </c>
      <c r="H61" s="79" t="s">
        <v>413</v>
      </c>
      <c r="I61" s="78">
        <v>5310179197</v>
      </c>
      <c r="J61" s="77" t="s">
        <v>89</v>
      </c>
      <c r="K61" s="57">
        <v>36133</v>
      </c>
      <c r="L61" s="78" t="s">
        <v>487</v>
      </c>
      <c r="M61" s="78" t="s">
        <v>755</v>
      </c>
      <c r="N61" s="78" t="s">
        <v>489</v>
      </c>
      <c r="O61" s="78" t="s">
        <v>488</v>
      </c>
      <c r="P61" s="77" t="s">
        <v>770</v>
      </c>
      <c r="Q61" s="80" t="s">
        <v>771</v>
      </c>
      <c r="R61" s="148" t="s">
        <v>1700</v>
      </c>
    </row>
    <row r="62" spans="1:18" hidden="1" x14ac:dyDescent="0.25">
      <c r="A62" s="151">
        <v>60</v>
      </c>
      <c r="B62" s="77" t="s">
        <v>88</v>
      </c>
      <c r="C62" s="77" t="s">
        <v>233</v>
      </c>
      <c r="D62" s="77" t="s">
        <v>54</v>
      </c>
      <c r="E62" s="77" t="s">
        <v>412</v>
      </c>
      <c r="F62" s="77"/>
      <c r="G62" s="78" t="s">
        <v>27</v>
      </c>
      <c r="H62" s="79" t="s">
        <v>413</v>
      </c>
      <c r="I62" s="78">
        <v>5310179479</v>
      </c>
      <c r="J62" s="77" t="s">
        <v>90</v>
      </c>
      <c r="K62" s="57">
        <v>36143</v>
      </c>
      <c r="L62" s="78" t="s">
        <v>490</v>
      </c>
      <c r="M62" s="78" t="s">
        <v>757</v>
      </c>
      <c r="N62" s="78" t="s">
        <v>743</v>
      </c>
      <c r="O62" s="78" t="s">
        <v>744</v>
      </c>
      <c r="P62" s="77" t="s">
        <v>286</v>
      </c>
      <c r="Q62" s="80" t="s">
        <v>354</v>
      </c>
      <c r="R62" s="148" t="s">
        <v>1699</v>
      </c>
    </row>
    <row r="63" spans="1:18" x14ac:dyDescent="0.25">
      <c r="A63" s="151">
        <v>61</v>
      </c>
      <c r="B63" s="77" t="s">
        <v>88</v>
      </c>
      <c r="C63" s="77" t="s">
        <v>769</v>
      </c>
      <c r="D63" s="77" t="s">
        <v>54</v>
      </c>
      <c r="E63" s="77" t="s">
        <v>937</v>
      </c>
      <c r="F63" s="77"/>
      <c r="G63" s="78" t="s">
        <v>27</v>
      </c>
      <c r="H63" s="79" t="s">
        <v>178</v>
      </c>
      <c r="I63" s="78">
        <v>5310178174</v>
      </c>
      <c r="J63" s="77" t="s">
        <v>767</v>
      </c>
      <c r="K63" s="57" t="s">
        <v>768</v>
      </c>
      <c r="L63" s="78" t="s">
        <v>536</v>
      </c>
      <c r="M63" s="78" t="s">
        <v>756</v>
      </c>
      <c r="N63" s="78" t="s">
        <v>856</v>
      </c>
      <c r="O63" s="78" t="s">
        <v>857</v>
      </c>
      <c r="P63" s="77" t="s">
        <v>287</v>
      </c>
      <c r="Q63" s="80" t="s">
        <v>355</v>
      </c>
      <c r="R63" s="148" t="s">
        <v>1700</v>
      </c>
    </row>
    <row r="64" spans="1:18" x14ac:dyDescent="0.25">
      <c r="A64" s="151">
        <v>62</v>
      </c>
      <c r="B64" s="77" t="s">
        <v>93</v>
      </c>
      <c r="C64" s="77" t="s">
        <v>234</v>
      </c>
      <c r="D64" s="77" t="s">
        <v>77</v>
      </c>
      <c r="E64" s="77" t="s">
        <v>428</v>
      </c>
      <c r="F64" s="77"/>
      <c r="G64" s="78" t="s">
        <v>27</v>
      </c>
      <c r="H64" s="79" t="s">
        <v>413</v>
      </c>
      <c r="I64" s="78">
        <v>5310179637</v>
      </c>
      <c r="J64" s="77" t="s">
        <v>111</v>
      </c>
      <c r="K64" s="57">
        <v>36551</v>
      </c>
      <c r="L64" s="78" t="s">
        <v>516</v>
      </c>
      <c r="M64" s="78" t="s">
        <v>517</v>
      </c>
      <c r="N64" s="78" t="s">
        <v>856</v>
      </c>
      <c r="O64" s="78" t="s">
        <v>857</v>
      </c>
      <c r="P64" s="77" t="s">
        <v>288</v>
      </c>
      <c r="Q64" s="80" t="s">
        <v>356</v>
      </c>
      <c r="R64" s="148" t="s">
        <v>1700</v>
      </c>
    </row>
    <row r="65" spans="1:18" ht="14.25" customHeight="1" x14ac:dyDescent="0.25">
      <c r="A65" s="151">
        <v>63</v>
      </c>
      <c r="B65" s="77" t="s">
        <v>93</v>
      </c>
      <c r="C65" s="77" t="s">
        <v>234</v>
      </c>
      <c r="D65" s="77" t="s">
        <v>77</v>
      </c>
      <c r="E65" s="77" t="s">
        <v>428</v>
      </c>
      <c r="F65" s="77"/>
      <c r="G65" s="78" t="s">
        <v>27</v>
      </c>
      <c r="H65" s="79" t="s">
        <v>413</v>
      </c>
      <c r="I65" s="78">
        <v>5310179589</v>
      </c>
      <c r="J65" s="77" t="s">
        <v>112</v>
      </c>
      <c r="K65" s="57">
        <v>36550</v>
      </c>
      <c r="L65" s="78" t="s">
        <v>502</v>
      </c>
      <c r="M65" s="78" t="s">
        <v>19</v>
      </c>
      <c r="N65" s="78" t="s">
        <v>605</v>
      </c>
      <c r="O65" s="78" t="s">
        <v>606</v>
      </c>
      <c r="P65" s="77" t="s">
        <v>252</v>
      </c>
      <c r="Q65" s="80" t="s">
        <v>357</v>
      </c>
      <c r="R65" s="148" t="s">
        <v>1700</v>
      </c>
    </row>
    <row r="66" spans="1:18" hidden="1" x14ac:dyDescent="0.25">
      <c r="A66" s="151">
        <v>64</v>
      </c>
      <c r="B66" s="77" t="s">
        <v>93</v>
      </c>
      <c r="C66" s="77" t="s">
        <v>234</v>
      </c>
      <c r="D66" s="77" t="s">
        <v>77</v>
      </c>
      <c r="E66" s="77" t="s">
        <v>428</v>
      </c>
      <c r="F66" s="77"/>
      <c r="G66" s="78" t="s">
        <v>27</v>
      </c>
      <c r="H66" s="79" t="s">
        <v>413</v>
      </c>
      <c r="I66" s="78">
        <v>5310179377</v>
      </c>
      <c r="J66" s="77" t="s">
        <v>181</v>
      </c>
      <c r="K66" s="57">
        <v>47434</v>
      </c>
      <c r="L66" s="78" t="s">
        <v>502</v>
      </c>
      <c r="M66" s="78" t="s">
        <v>1670</v>
      </c>
      <c r="N66" s="78" t="s">
        <v>605</v>
      </c>
      <c r="O66" s="78" t="s">
        <v>606</v>
      </c>
      <c r="P66" s="77" t="s">
        <v>253</v>
      </c>
      <c r="Q66" s="80" t="s">
        <v>358</v>
      </c>
    </row>
    <row r="67" spans="1:18" x14ac:dyDescent="0.25">
      <c r="A67" s="151">
        <v>65</v>
      </c>
      <c r="B67" s="77" t="s">
        <v>94</v>
      </c>
      <c r="C67" s="77" t="s">
        <v>235</v>
      </c>
      <c r="D67" s="77" t="s">
        <v>508</v>
      </c>
      <c r="E67" s="77" t="s">
        <v>429</v>
      </c>
      <c r="F67" s="77" t="s">
        <v>729</v>
      </c>
      <c r="G67" s="78" t="s">
        <v>27</v>
      </c>
      <c r="H67" s="79" t="s">
        <v>413</v>
      </c>
      <c r="I67" s="78">
        <v>5310179496</v>
      </c>
      <c r="J67" s="77" t="s">
        <v>113</v>
      </c>
      <c r="K67" s="57">
        <v>36536</v>
      </c>
      <c r="L67" s="78" t="s">
        <v>529</v>
      </c>
      <c r="M67" s="78" t="s">
        <v>539</v>
      </c>
      <c r="N67" s="78" t="s">
        <v>543</v>
      </c>
      <c r="O67" s="78" t="s">
        <v>542</v>
      </c>
      <c r="P67" s="77" t="s">
        <v>254</v>
      </c>
      <c r="Q67" s="80" t="s">
        <v>538</v>
      </c>
    </row>
    <row r="68" spans="1:18" x14ac:dyDescent="0.25">
      <c r="A68" s="151">
        <v>66</v>
      </c>
      <c r="B68" s="77" t="s">
        <v>94</v>
      </c>
      <c r="C68" s="77" t="s">
        <v>235</v>
      </c>
      <c r="D68" s="77" t="s">
        <v>508</v>
      </c>
      <c r="E68" s="77" t="s">
        <v>429</v>
      </c>
      <c r="F68" s="77" t="s">
        <v>729</v>
      </c>
      <c r="G68" s="78" t="s">
        <v>27</v>
      </c>
      <c r="H68" s="79" t="s">
        <v>178</v>
      </c>
      <c r="I68" s="78">
        <v>5310179024</v>
      </c>
      <c r="J68" s="78" t="s">
        <v>114</v>
      </c>
      <c r="K68" s="77" t="s">
        <v>115</v>
      </c>
      <c r="L68" s="78" t="s">
        <v>529</v>
      </c>
      <c r="M68" s="78" t="s">
        <v>539</v>
      </c>
      <c r="N68" s="78" t="s">
        <v>609</v>
      </c>
      <c r="O68" s="78" t="s">
        <v>610</v>
      </c>
      <c r="P68" s="78" t="s">
        <v>255</v>
      </c>
      <c r="Q68" s="80" t="s">
        <v>359</v>
      </c>
    </row>
    <row r="69" spans="1:18" hidden="1" x14ac:dyDescent="0.25">
      <c r="A69" s="151">
        <v>67</v>
      </c>
      <c r="B69" s="77" t="s">
        <v>94</v>
      </c>
      <c r="C69" s="77" t="s">
        <v>235</v>
      </c>
      <c r="D69" s="77" t="s">
        <v>508</v>
      </c>
      <c r="E69" s="77" t="s">
        <v>429</v>
      </c>
      <c r="F69" s="77" t="s">
        <v>729</v>
      </c>
      <c r="G69" s="78" t="s">
        <v>31</v>
      </c>
      <c r="H69" s="79" t="s">
        <v>413</v>
      </c>
      <c r="I69" s="78">
        <v>5310137821</v>
      </c>
      <c r="J69" s="77" t="s">
        <v>95</v>
      </c>
      <c r="K69" s="57" t="s">
        <v>858</v>
      </c>
      <c r="L69" s="78" t="s">
        <v>530</v>
      </c>
      <c r="M69" s="78" t="s">
        <v>405</v>
      </c>
      <c r="N69" s="78" t="s">
        <v>607</v>
      </c>
      <c r="O69" s="78" t="s">
        <v>608</v>
      </c>
      <c r="P69" s="78" t="s">
        <v>257</v>
      </c>
      <c r="Q69" s="80" t="s">
        <v>360</v>
      </c>
    </row>
    <row r="70" spans="1:18" hidden="1" x14ac:dyDescent="0.25">
      <c r="A70" s="151">
        <v>68</v>
      </c>
      <c r="B70" s="77" t="s">
        <v>94</v>
      </c>
      <c r="C70" s="77" t="s">
        <v>235</v>
      </c>
      <c r="D70" s="77" t="s">
        <v>508</v>
      </c>
      <c r="E70" s="77" t="s">
        <v>429</v>
      </c>
      <c r="F70" s="77"/>
      <c r="G70" s="78" t="s">
        <v>31</v>
      </c>
      <c r="H70" s="79" t="s">
        <v>413</v>
      </c>
      <c r="I70" s="78">
        <v>5310138698</v>
      </c>
      <c r="J70" s="77" t="s">
        <v>196</v>
      </c>
      <c r="K70" s="57">
        <v>52509</v>
      </c>
      <c r="L70" s="78" t="s">
        <v>615</v>
      </c>
      <c r="M70" s="78" t="s">
        <v>616</v>
      </c>
      <c r="N70" s="79" t="s">
        <v>545</v>
      </c>
      <c r="O70" s="79" t="s">
        <v>544</v>
      </c>
      <c r="P70" s="78" t="s">
        <v>256</v>
      </c>
      <c r="Q70" s="80" t="s">
        <v>361</v>
      </c>
    </row>
    <row r="71" spans="1:18" hidden="1" x14ac:dyDescent="0.25">
      <c r="A71" s="151">
        <v>69</v>
      </c>
      <c r="B71" s="77" t="s">
        <v>94</v>
      </c>
      <c r="C71" s="77" t="s">
        <v>235</v>
      </c>
      <c r="D71" s="77" t="s">
        <v>508</v>
      </c>
      <c r="E71" s="77" t="s">
        <v>429</v>
      </c>
      <c r="F71" s="77"/>
      <c r="G71" s="78" t="s">
        <v>22</v>
      </c>
      <c r="H71" s="79" t="s">
        <v>178</v>
      </c>
      <c r="I71" s="78">
        <v>57526892</v>
      </c>
      <c r="J71" s="77" t="s">
        <v>194</v>
      </c>
      <c r="K71" s="57" t="s">
        <v>195</v>
      </c>
      <c r="L71" s="78" t="s">
        <v>531</v>
      </c>
      <c r="M71" s="78" t="s">
        <v>540</v>
      </c>
      <c r="N71" s="78" t="s">
        <v>919</v>
      </c>
      <c r="O71" s="78" t="s">
        <v>920</v>
      </c>
      <c r="P71" s="78" t="s">
        <v>258</v>
      </c>
      <c r="Q71" s="80" t="s">
        <v>362</v>
      </c>
    </row>
    <row r="72" spans="1:18" hidden="1" x14ac:dyDescent="0.25">
      <c r="A72" s="151">
        <v>70</v>
      </c>
      <c r="B72" s="77" t="s">
        <v>94</v>
      </c>
      <c r="C72" s="77" t="s">
        <v>235</v>
      </c>
      <c r="D72" s="77" t="s">
        <v>508</v>
      </c>
      <c r="E72" s="77" t="s">
        <v>429</v>
      </c>
      <c r="F72" s="77"/>
      <c r="G72" s="78" t="s">
        <v>27</v>
      </c>
      <c r="H72" s="79" t="s">
        <v>413</v>
      </c>
      <c r="I72" s="78">
        <v>5310179595</v>
      </c>
      <c r="J72" s="77" t="s">
        <v>198</v>
      </c>
      <c r="K72" s="57">
        <v>52510</v>
      </c>
      <c r="L72" s="156" t="s">
        <v>859</v>
      </c>
      <c r="M72" s="57" t="s">
        <v>405</v>
      </c>
      <c r="N72" s="78" t="s">
        <v>611</v>
      </c>
      <c r="O72" s="78" t="s">
        <v>612</v>
      </c>
      <c r="P72" s="78" t="s">
        <v>259</v>
      </c>
      <c r="Q72" s="80" t="s">
        <v>363</v>
      </c>
    </row>
    <row r="73" spans="1:18" hidden="1" x14ac:dyDescent="0.25">
      <c r="A73" s="151">
        <v>71</v>
      </c>
      <c r="B73" s="77" t="s">
        <v>94</v>
      </c>
      <c r="C73" s="77" t="s">
        <v>235</v>
      </c>
      <c r="D73" s="77" t="s">
        <v>508</v>
      </c>
      <c r="E73" s="77" t="s">
        <v>429</v>
      </c>
      <c r="F73" s="77"/>
      <c r="G73" s="78" t="s">
        <v>27</v>
      </c>
      <c r="H73" s="79" t="s">
        <v>413</v>
      </c>
      <c r="I73" s="78">
        <v>5310179362</v>
      </c>
      <c r="J73" s="77" t="s">
        <v>197</v>
      </c>
      <c r="K73" s="57">
        <v>52553</v>
      </c>
      <c r="L73" s="78" t="s">
        <v>534</v>
      </c>
      <c r="M73" s="78" t="s">
        <v>921</v>
      </c>
      <c r="N73" s="78" t="s">
        <v>611</v>
      </c>
      <c r="O73" s="78" t="s">
        <v>612</v>
      </c>
      <c r="P73" s="78" t="s">
        <v>260</v>
      </c>
      <c r="Q73" s="80" t="s">
        <v>364</v>
      </c>
    </row>
    <row r="74" spans="1:18" hidden="1" x14ac:dyDescent="0.25">
      <c r="A74" s="151">
        <v>72</v>
      </c>
      <c r="B74" s="77" t="s">
        <v>94</v>
      </c>
      <c r="C74" s="77" t="s">
        <v>235</v>
      </c>
      <c r="D74" s="77" t="s">
        <v>508</v>
      </c>
      <c r="E74" s="77" t="s">
        <v>429</v>
      </c>
      <c r="F74" s="77"/>
      <c r="G74" s="78" t="s">
        <v>27</v>
      </c>
      <c r="H74" s="79" t="s">
        <v>178</v>
      </c>
      <c r="I74" s="78">
        <v>5310179028</v>
      </c>
      <c r="J74" s="77" t="s">
        <v>190</v>
      </c>
      <c r="K74" s="57" t="s">
        <v>191</v>
      </c>
      <c r="L74" s="78" t="s">
        <v>1690</v>
      </c>
      <c r="M74" s="78" t="s">
        <v>541</v>
      </c>
      <c r="N74" s="78" t="s">
        <v>613</v>
      </c>
      <c r="O74" s="78" t="s">
        <v>614</v>
      </c>
      <c r="P74" s="78" t="s">
        <v>261</v>
      </c>
      <c r="Q74" s="80" t="s">
        <v>365</v>
      </c>
    </row>
    <row r="75" spans="1:18" hidden="1" x14ac:dyDescent="0.25">
      <c r="A75" s="151">
        <v>73</v>
      </c>
      <c r="B75" s="77" t="s">
        <v>94</v>
      </c>
      <c r="C75" s="77" t="s">
        <v>235</v>
      </c>
      <c r="D75" s="77" t="s">
        <v>508</v>
      </c>
      <c r="E75" s="77" t="s">
        <v>429</v>
      </c>
      <c r="F75" s="77"/>
      <c r="G75" s="78" t="s">
        <v>22</v>
      </c>
      <c r="H75" s="79" t="s">
        <v>178</v>
      </c>
      <c r="I75" s="78">
        <v>57526879</v>
      </c>
      <c r="J75" s="77" t="s">
        <v>192</v>
      </c>
      <c r="K75" s="57" t="s">
        <v>193</v>
      </c>
      <c r="L75" s="78" t="s">
        <v>1690</v>
      </c>
      <c r="M75" s="78" t="s">
        <v>541</v>
      </c>
      <c r="N75" s="78" t="s">
        <v>498</v>
      </c>
      <c r="O75" s="78" t="s">
        <v>497</v>
      </c>
      <c r="P75" s="57" t="s">
        <v>218</v>
      </c>
      <c r="Q75" s="81" t="s">
        <v>366</v>
      </c>
      <c r="R75" s="148" t="s">
        <v>1700</v>
      </c>
    </row>
    <row r="76" spans="1:18" hidden="1" x14ac:dyDescent="0.25">
      <c r="A76" s="151">
        <v>74</v>
      </c>
      <c r="B76" s="77" t="s">
        <v>94</v>
      </c>
      <c r="C76" s="77" t="s">
        <v>235</v>
      </c>
      <c r="D76" s="77" t="s">
        <v>508</v>
      </c>
      <c r="E76" s="77" t="s">
        <v>429</v>
      </c>
      <c r="F76" s="77"/>
      <c r="G76" s="78" t="s">
        <v>27</v>
      </c>
      <c r="H76" s="79" t="s">
        <v>178</v>
      </c>
      <c r="I76" s="78">
        <v>5310179054</v>
      </c>
      <c r="J76" s="77" t="s">
        <v>188</v>
      </c>
      <c r="K76" s="57" t="s">
        <v>189</v>
      </c>
      <c r="L76" s="78" t="s">
        <v>532</v>
      </c>
      <c r="M76" s="78" t="s">
        <v>533</v>
      </c>
      <c r="N76" s="78" t="s">
        <v>484</v>
      </c>
      <c r="O76" s="78" t="s">
        <v>483</v>
      </c>
      <c r="P76" s="57" t="s">
        <v>289</v>
      </c>
      <c r="Q76" s="81" t="s">
        <v>367</v>
      </c>
      <c r="R76" s="148" t="s">
        <v>1700</v>
      </c>
    </row>
    <row r="77" spans="1:18" x14ac:dyDescent="0.25">
      <c r="A77" s="151">
        <v>75</v>
      </c>
      <c r="B77" s="77" t="s">
        <v>179</v>
      </c>
      <c r="C77" s="77" t="s">
        <v>236</v>
      </c>
      <c r="D77" s="77" t="s">
        <v>77</v>
      </c>
      <c r="E77" s="77" t="s">
        <v>445</v>
      </c>
      <c r="F77" s="77"/>
      <c r="G77" s="78" t="s">
        <v>27</v>
      </c>
      <c r="H77" s="79" t="s">
        <v>178</v>
      </c>
      <c r="I77" s="78">
        <v>5310178675</v>
      </c>
      <c r="J77" s="77" t="s">
        <v>216</v>
      </c>
      <c r="K77" s="57" t="s">
        <v>217</v>
      </c>
      <c r="L77" s="78" t="s">
        <v>496</v>
      </c>
      <c r="M77" s="78" t="s">
        <v>404</v>
      </c>
      <c r="N77" s="78" t="s">
        <v>829</v>
      </c>
      <c r="O77" s="78" t="s">
        <v>830</v>
      </c>
      <c r="P77" s="77" t="s">
        <v>292</v>
      </c>
      <c r="Q77" s="80" t="s">
        <v>368</v>
      </c>
      <c r="R77" s="148" t="s">
        <v>1700</v>
      </c>
    </row>
    <row r="78" spans="1:18" x14ac:dyDescent="0.25">
      <c r="A78" s="151">
        <v>76</v>
      </c>
      <c r="B78" s="77" t="s">
        <v>96</v>
      </c>
      <c r="C78" s="77" t="s">
        <v>237</v>
      </c>
      <c r="D78" s="77" t="s">
        <v>77</v>
      </c>
      <c r="E78" s="77" t="s">
        <v>430</v>
      </c>
      <c r="F78" s="77"/>
      <c r="G78" s="78" t="s">
        <v>27</v>
      </c>
      <c r="H78" s="79" t="s">
        <v>413</v>
      </c>
      <c r="I78" s="78">
        <v>5310179282</v>
      </c>
      <c r="J78" s="57" t="s">
        <v>145</v>
      </c>
      <c r="K78" s="57">
        <v>36824</v>
      </c>
      <c r="L78" s="78" t="s">
        <v>1691</v>
      </c>
      <c r="M78" s="78" t="s">
        <v>626</v>
      </c>
      <c r="N78" s="78" t="s">
        <v>831</v>
      </c>
      <c r="O78" s="78" t="s">
        <v>832</v>
      </c>
      <c r="P78" s="57" t="s">
        <v>294</v>
      </c>
      <c r="Q78" s="81" t="s">
        <v>369</v>
      </c>
      <c r="R78" s="148" t="s">
        <v>1700</v>
      </c>
    </row>
    <row r="79" spans="1:18" x14ac:dyDescent="0.25">
      <c r="A79" s="151">
        <v>77</v>
      </c>
      <c r="B79" s="77" t="s">
        <v>97</v>
      </c>
      <c r="C79" s="77" t="s">
        <v>238</v>
      </c>
      <c r="D79" s="77" t="s">
        <v>77</v>
      </c>
      <c r="E79" s="77" t="s">
        <v>431</v>
      </c>
      <c r="F79" s="77"/>
      <c r="G79" s="78" t="s">
        <v>27</v>
      </c>
      <c r="H79" s="79" t="s">
        <v>178</v>
      </c>
      <c r="I79" s="78">
        <v>5310179062</v>
      </c>
      <c r="J79" s="78" t="s">
        <v>99</v>
      </c>
      <c r="K79" s="57" t="s">
        <v>98</v>
      </c>
      <c r="L79" s="78" t="s">
        <v>525</v>
      </c>
      <c r="M79" s="78" t="s">
        <v>408</v>
      </c>
      <c r="N79" s="79" t="s">
        <v>860</v>
      </c>
      <c r="O79" s="79" t="s">
        <v>861</v>
      </c>
      <c r="P79" s="77" t="s">
        <v>290</v>
      </c>
      <c r="Q79" s="80" t="s">
        <v>370</v>
      </c>
      <c r="R79" s="148" t="s">
        <v>1700</v>
      </c>
    </row>
    <row r="80" spans="1:18" x14ac:dyDescent="0.25">
      <c r="A80" s="151">
        <v>78</v>
      </c>
      <c r="B80" s="77" t="s">
        <v>97</v>
      </c>
      <c r="C80" s="77" t="s">
        <v>238</v>
      </c>
      <c r="D80" s="77" t="s">
        <v>77</v>
      </c>
      <c r="E80" s="77" t="s">
        <v>431</v>
      </c>
      <c r="F80" s="77"/>
      <c r="G80" s="78" t="s">
        <v>22</v>
      </c>
      <c r="H80" s="79" t="s">
        <v>178</v>
      </c>
      <c r="I80" s="78">
        <v>57526894</v>
      </c>
      <c r="J80" s="79" t="s">
        <v>146</v>
      </c>
      <c r="K80" s="77" t="s">
        <v>147</v>
      </c>
      <c r="L80" s="78" t="s">
        <v>526</v>
      </c>
      <c r="M80" s="78"/>
      <c r="N80" s="79" t="s">
        <v>860</v>
      </c>
      <c r="O80" s="79" t="s">
        <v>861</v>
      </c>
      <c r="P80" s="77" t="s">
        <v>293</v>
      </c>
      <c r="Q80" s="80" t="s">
        <v>371</v>
      </c>
      <c r="R80" s="148" t="s">
        <v>1700</v>
      </c>
    </row>
    <row r="81" spans="1:18" hidden="1" x14ac:dyDescent="0.25">
      <c r="A81" s="151">
        <v>79</v>
      </c>
      <c r="B81" s="77" t="s">
        <v>97</v>
      </c>
      <c r="C81" s="77" t="s">
        <v>238</v>
      </c>
      <c r="D81" s="77" t="s">
        <v>77</v>
      </c>
      <c r="E81" s="77" t="s">
        <v>431</v>
      </c>
      <c r="F81" s="77"/>
      <c r="G81" s="78" t="s">
        <v>27</v>
      </c>
      <c r="H81" s="79" t="s">
        <v>413</v>
      </c>
      <c r="I81" s="78">
        <v>5310179237</v>
      </c>
      <c r="J81" s="77" t="s">
        <v>108</v>
      </c>
      <c r="K81" s="57">
        <v>36481</v>
      </c>
      <c r="L81" s="78" t="s">
        <v>527</v>
      </c>
      <c r="M81" s="78" t="s">
        <v>34</v>
      </c>
      <c r="N81" s="79" t="s">
        <v>872</v>
      </c>
      <c r="O81" s="79" t="s">
        <v>873</v>
      </c>
      <c r="P81" s="77" t="s">
        <v>291</v>
      </c>
      <c r="Q81" s="80" t="s">
        <v>372</v>
      </c>
      <c r="R81" s="148" t="s">
        <v>1700</v>
      </c>
    </row>
    <row r="82" spans="1:18" hidden="1" x14ac:dyDescent="0.25">
      <c r="A82" s="151">
        <v>80</v>
      </c>
      <c r="B82" s="77" t="s">
        <v>97</v>
      </c>
      <c r="C82" s="77" t="s">
        <v>238</v>
      </c>
      <c r="D82" s="77" t="s">
        <v>77</v>
      </c>
      <c r="E82" s="77" t="s">
        <v>431</v>
      </c>
      <c r="F82" s="77"/>
      <c r="G82" s="78" t="s">
        <v>27</v>
      </c>
      <c r="H82" s="79" t="s">
        <v>178</v>
      </c>
      <c r="I82" s="78">
        <v>5310179080</v>
      </c>
      <c r="J82" s="78" t="s">
        <v>124</v>
      </c>
      <c r="K82" s="77" t="s">
        <v>125</v>
      </c>
      <c r="L82" s="78" t="s">
        <v>527</v>
      </c>
      <c r="M82" s="78" t="s">
        <v>34</v>
      </c>
      <c r="N82" s="78" t="s">
        <v>833</v>
      </c>
      <c r="O82" s="78" t="s">
        <v>834</v>
      </c>
      <c r="P82" s="57" t="s">
        <v>295</v>
      </c>
      <c r="Q82" s="81" t="s">
        <v>373</v>
      </c>
      <c r="R82" s="148" t="s">
        <v>1700</v>
      </c>
    </row>
    <row r="83" spans="1:18" hidden="1" x14ac:dyDescent="0.25">
      <c r="A83" s="151">
        <v>81</v>
      </c>
      <c r="B83" s="77" t="s">
        <v>97</v>
      </c>
      <c r="C83" s="77" t="s">
        <v>238</v>
      </c>
      <c r="D83" s="77" t="s">
        <v>77</v>
      </c>
      <c r="E83" s="77" t="s">
        <v>431</v>
      </c>
      <c r="F83" s="77"/>
      <c r="G83" s="78" t="s">
        <v>27</v>
      </c>
      <c r="H83" s="79" t="s">
        <v>413</v>
      </c>
      <c r="I83" s="78">
        <v>5310179219</v>
      </c>
      <c r="J83" s="77">
        <v>900346684</v>
      </c>
      <c r="K83" s="57">
        <v>49575</v>
      </c>
      <c r="L83" s="78" t="s">
        <v>627</v>
      </c>
      <c r="M83" s="78" t="s">
        <v>187</v>
      </c>
      <c r="N83" s="78" t="s">
        <v>565</v>
      </c>
      <c r="O83" s="78" t="s">
        <v>564</v>
      </c>
      <c r="P83" s="57" t="s">
        <v>265</v>
      </c>
      <c r="Q83" s="81" t="s">
        <v>374</v>
      </c>
      <c r="R83" s="148" t="s">
        <v>1700</v>
      </c>
    </row>
    <row r="84" spans="1:18" hidden="1" x14ac:dyDescent="0.25">
      <c r="A84" s="151">
        <v>82</v>
      </c>
      <c r="B84" s="77" t="s">
        <v>97</v>
      </c>
      <c r="C84" s="77" t="s">
        <v>238</v>
      </c>
      <c r="D84" s="77" t="s">
        <v>77</v>
      </c>
      <c r="E84" s="77" t="s">
        <v>431</v>
      </c>
      <c r="F84" s="77"/>
      <c r="G84" s="78" t="s">
        <v>22</v>
      </c>
      <c r="H84" s="79" t="s">
        <v>178</v>
      </c>
      <c r="I84" s="79">
        <v>57526891</v>
      </c>
      <c r="J84" s="77" t="s">
        <v>182</v>
      </c>
      <c r="K84" s="77" t="s">
        <v>183</v>
      </c>
      <c r="L84" s="156" t="s">
        <v>862</v>
      </c>
      <c r="M84" s="57" t="s">
        <v>863</v>
      </c>
      <c r="N84" s="78" t="s">
        <v>954</v>
      </c>
      <c r="O84" s="78" t="s">
        <v>955</v>
      </c>
      <c r="P84" s="57" t="s">
        <v>266</v>
      </c>
      <c r="Q84" s="81" t="s">
        <v>375</v>
      </c>
      <c r="R84" s="148" t="s">
        <v>1700</v>
      </c>
    </row>
    <row r="85" spans="1:18" x14ac:dyDescent="0.25">
      <c r="A85" s="151">
        <v>83</v>
      </c>
      <c r="B85" s="77" t="s">
        <v>100</v>
      </c>
      <c r="C85" s="77" t="s">
        <v>239</v>
      </c>
      <c r="D85" s="77" t="s">
        <v>42</v>
      </c>
      <c r="E85" s="77" t="s">
        <v>432</v>
      </c>
      <c r="F85" s="77"/>
      <c r="G85" s="78" t="s">
        <v>27</v>
      </c>
      <c r="H85" s="79" t="s">
        <v>413</v>
      </c>
      <c r="I85" s="78">
        <v>5310179602</v>
      </c>
      <c r="J85" s="57" t="s">
        <v>148</v>
      </c>
      <c r="K85" s="57">
        <v>36760</v>
      </c>
      <c r="L85" s="78" t="s">
        <v>561</v>
      </c>
      <c r="M85" s="78" t="s">
        <v>746</v>
      </c>
      <c r="N85" s="78" t="s">
        <v>565</v>
      </c>
      <c r="O85" s="78" t="s">
        <v>564</v>
      </c>
      <c r="P85" s="57" t="s">
        <v>267</v>
      </c>
      <c r="Q85" s="81" t="s">
        <v>376</v>
      </c>
      <c r="R85" s="148" t="s">
        <v>1700</v>
      </c>
    </row>
    <row r="86" spans="1:18" x14ac:dyDescent="0.25">
      <c r="A86" s="151">
        <v>84</v>
      </c>
      <c r="B86" s="77" t="s">
        <v>100</v>
      </c>
      <c r="C86" s="77" t="s">
        <v>239</v>
      </c>
      <c r="D86" s="77" t="s">
        <v>42</v>
      </c>
      <c r="E86" s="77" t="s">
        <v>432</v>
      </c>
      <c r="F86" s="77"/>
      <c r="G86" s="78" t="s">
        <v>27</v>
      </c>
      <c r="H86" s="79" t="s">
        <v>413</v>
      </c>
      <c r="I86" s="78">
        <v>5310179750</v>
      </c>
      <c r="J86" s="57" t="s">
        <v>149</v>
      </c>
      <c r="K86" s="57">
        <v>36762</v>
      </c>
      <c r="L86" s="78" t="s">
        <v>560</v>
      </c>
      <c r="M86" s="78" t="s">
        <v>745</v>
      </c>
      <c r="N86" s="78" t="s">
        <v>628</v>
      </c>
      <c r="O86" s="78" t="s">
        <v>629</v>
      </c>
      <c r="P86" s="77" t="s">
        <v>297</v>
      </c>
      <c r="Q86" s="80" t="s">
        <v>377</v>
      </c>
      <c r="R86" s="148" t="s">
        <v>1700</v>
      </c>
    </row>
    <row r="87" spans="1:18" x14ac:dyDescent="0.25">
      <c r="A87" s="151">
        <v>85</v>
      </c>
      <c r="B87" s="77" t="s">
        <v>100</v>
      </c>
      <c r="C87" s="77" t="s">
        <v>239</v>
      </c>
      <c r="D87" s="77" t="s">
        <v>42</v>
      </c>
      <c r="E87" s="77" t="s">
        <v>432</v>
      </c>
      <c r="F87" s="77"/>
      <c r="G87" s="78" t="s">
        <v>22</v>
      </c>
      <c r="H87" s="79" t="s">
        <v>178</v>
      </c>
      <c r="I87" s="78">
        <v>57526890</v>
      </c>
      <c r="J87" s="57" t="s">
        <v>150</v>
      </c>
      <c r="K87" s="57" t="s">
        <v>151</v>
      </c>
      <c r="L87" s="78" t="s">
        <v>561</v>
      </c>
      <c r="M87" s="78" t="s">
        <v>746</v>
      </c>
      <c r="N87" s="78" t="s">
        <v>630</v>
      </c>
      <c r="O87" s="78" t="s">
        <v>631</v>
      </c>
      <c r="P87" s="77" t="s">
        <v>296</v>
      </c>
      <c r="Q87" s="80" t="s">
        <v>378</v>
      </c>
      <c r="R87" s="148" t="s">
        <v>1700</v>
      </c>
    </row>
    <row r="88" spans="1:18" x14ac:dyDescent="0.25">
      <c r="A88" s="151">
        <v>86</v>
      </c>
      <c r="B88" s="77" t="s">
        <v>101</v>
      </c>
      <c r="C88" s="77" t="s">
        <v>240</v>
      </c>
      <c r="D88" s="77" t="s">
        <v>77</v>
      </c>
      <c r="E88" s="77" t="s">
        <v>433</v>
      </c>
      <c r="F88" s="77"/>
      <c r="G88" s="78" t="s">
        <v>22</v>
      </c>
      <c r="H88" s="79" t="s">
        <v>178</v>
      </c>
      <c r="I88" s="78">
        <v>57526874</v>
      </c>
      <c r="J88" s="77" t="s">
        <v>103</v>
      </c>
      <c r="K88" s="57" t="s">
        <v>102</v>
      </c>
      <c r="L88" s="78" t="s">
        <v>499</v>
      </c>
      <c r="M88" s="78" t="s">
        <v>19</v>
      </c>
      <c r="N88" s="78" t="s">
        <v>632</v>
      </c>
      <c r="O88" s="78" t="s">
        <v>633</v>
      </c>
      <c r="P88" s="77" t="s">
        <v>298</v>
      </c>
      <c r="Q88" s="80" t="s">
        <v>379</v>
      </c>
      <c r="R88" s="148" t="s">
        <v>1700</v>
      </c>
    </row>
    <row r="89" spans="1:18" hidden="1" x14ac:dyDescent="0.25">
      <c r="A89" s="151">
        <v>87</v>
      </c>
      <c r="B89" s="77" t="s">
        <v>101</v>
      </c>
      <c r="C89" s="77" t="s">
        <v>240</v>
      </c>
      <c r="D89" s="77" t="s">
        <v>77</v>
      </c>
      <c r="E89" s="77" t="s">
        <v>433</v>
      </c>
      <c r="F89" s="77"/>
      <c r="G89" s="78" t="s">
        <v>27</v>
      </c>
      <c r="H89" s="79" t="s">
        <v>413</v>
      </c>
      <c r="I89" s="78">
        <v>5310179556</v>
      </c>
      <c r="J89" s="77" t="s">
        <v>107</v>
      </c>
      <c r="K89" s="57">
        <v>36441</v>
      </c>
      <c r="L89" s="78" t="s">
        <v>500</v>
      </c>
      <c r="M89" s="78" t="s">
        <v>501</v>
      </c>
      <c r="N89" s="79" t="s">
        <v>1666</v>
      </c>
      <c r="O89" s="79" t="s">
        <v>1667</v>
      </c>
      <c r="P89" s="57" t="s">
        <v>299</v>
      </c>
      <c r="Q89" s="81" t="s">
        <v>380</v>
      </c>
      <c r="R89" s="148" t="s">
        <v>1700</v>
      </c>
    </row>
    <row r="90" spans="1:18" hidden="1" x14ac:dyDescent="0.25">
      <c r="A90" s="151">
        <v>88</v>
      </c>
      <c r="B90" s="77" t="s">
        <v>101</v>
      </c>
      <c r="C90" s="77" t="s">
        <v>240</v>
      </c>
      <c r="D90" s="77" t="s">
        <v>77</v>
      </c>
      <c r="E90" s="77" t="s">
        <v>433</v>
      </c>
      <c r="F90" s="77"/>
      <c r="G90" s="78" t="s">
        <v>27</v>
      </c>
      <c r="H90" s="79" t="s">
        <v>178</v>
      </c>
      <c r="I90" s="78">
        <v>5310178991</v>
      </c>
      <c r="J90" s="78" t="s">
        <v>105</v>
      </c>
      <c r="K90" s="57" t="s">
        <v>104</v>
      </c>
      <c r="L90" s="78" t="s">
        <v>500</v>
      </c>
      <c r="M90" s="78" t="s">
        <v>501</v>
      </c>
      <c r="N90" s="79" t="s">
        <v>1666</v>
      </c>
      <c r="O90" s="79" t="s">
        <v>1667</v>
      </c>
      <c r="P90" s="57" t="s">
        <v>300</v>
      </c>
      <c r="Q90" s="81" t="s">
        <v>381</v>
      </c>
      <c r="R90" s="148" t="s">
        <v>1700</v>
      </c>
    </row>
    <row r="91" spans="1:18" hidden="1" x14ac:dyDescent="0.25">
      <c r="A91" s="151">
        <v>89</v>
      </c>
      <c r="B91" s="77" t="s">
        <v>106</v>
      </c>
      <c r="C91" s="77" t="s">
        <v>241</v>
      </c>
      <c r="D91" s="77" t="s">
        <v>506</v>
      </c>
      <c r="E91" s="77" t="s">
        <v>434</v>
      </c>
      <c r="F91" s="77"/>
      <c r="G91" s="78" t="s">
        <v>27</v>
      </c>
      <c r="H91" s="79" t="s">
        <v>413</v>
      </c>
      <c r="I91" s="78">
        <v>5310179616</v>
      </c>
      <c r="J91" s="57" t="s">
        <v>152</v>
      </c>
      <c r="K91" s="57">
        <v>36981</v>
      </c>
      <c r="L91" s="78" t="s">
        <v>1668</v>
      </c>
      <c r="M91" s="78" t="s">
        <v>1669</v>
      </c>
      <c r="N91" s="79" t="s">
        <v>835</v>
      </c>
      <c r="O91" s="79" t="s">
        <v>836</v>
      </c>
      <c r="P91" s="77" t="s">
        <v>301</v>
      </c>
      <c r="Q91" s="80" t="s">
        <v>382</v>
      </c>
      <c r="R91" s="148" t="s">
        <v>1700</v>
      </c>
    </row>
    <row r="92" spans="1:18" hidden="1" x14ac:dyDescent="0.25">
      <c r="A92" s="151">
        <v>90</v>
      </c>
      <c r="B92" s="77" t="s">
        <v>106</v>
      </c>
      <c r="C92" s="77" t="s">
        <v>241</v>
      </c>
      <c r="D92" s="77" t="s">
        <v>506</v>
      </c>
      <c r="E92" s="77" t="s">
        <v>434</v>
      </c>
      <c r="F92" s="77"/>
      <c r="G92" s="78" t="s">
        <v>27</v>
      </c>
      <c r="H92" s="79" t="s">
        <v>178</v>
      </c>
      <c r="I92" s="78">
        <v>5310178047</v>
      </c>
      <c r="J92" s="57" t="s">
        <v>153</v>
      </c>
      <c r="K92" s="57" t="s">
        <v>154</v>
      </c>
      <c r="L92" s="78" t="s">
        <v>1668</v>
      </c>
      <c r="M92" s="78" t="s">
        <v>1669</v>
      </c>
      <c r="N92" s="78" t="s">
        <v>571</v>
      </c>
      <c r="O92" s="78" t="s">
        <v>572</v>
      </c>
      <c r="P92" s="57" t="s">
        <v>302</v>
      </c>
      <c r="Q92" s="81" t="s">
        <v>383</v>
      </c>
      <c r="R92" s="148" t="s">
        <v>1700</v>
      </c>
    </row>
    <row r="93" spans="1:18" x14ac:dyDescent="0.25">
      <c r="A93" s="151">
        <v>91</v>
      </c>
      <c r="B93" s="77" t="s">
        <v>106</v>
      </c>
      <c r="C93" s="77" t="s">
        <v>241</v>
      </c>
      <c r="D93" s="77" t="s">
        <v>506</v>
      </c>
      <c r="E93" s="77" t="s">
        <v>434</v>
      </c>
      <c r="F93" s="77"/>
      <c r="G93" s="78" t="s">
        <v>22</v>
      </c>
      <c r="H93" s="79" t="s">
        <v>178</v>
      </c>
      <c r="I93" s="78">
        <v>57526885</v>
      </c>
      <c r="J93" s="77" t="s">
        <v>176</v>
      </c>
      <c r="K93" s="57" t="s">
        <v>175</v>
      </c>
      <c r="L93" s="78" t="s">
        <v>495</v>
      </c>
      <c r="M93" s="78" t="s">
        <v>931</v>
      </c>
      <c r="N93" s="78" t="s">
        <v>895</v>
      </c>
      <c r="O93" s="78" t="s">
        <v>896</v>
      </c>
      <c r="P93" s="57" t="s">
        <v>303</v>
      </c>
      <c r="Q93" s="81" t="s">
        <v>384</v>
      </c>
      <c r="R93" s="148" t="s">
        <v>1700</v>
      </c>
    </row>
    <row r="94" spans="1:18" x14ac:dyDescent="0.25">
      <c r="A94" s="151">
        <v>92</v>
      </c>
      <c r="B94" s="77" t="s">
        <v>132</v>
      </c>
      <c r="C94" s="77" t="s">
        <v>242</v>
      </c>
      <c r="D94" s="77" t="s">
        <v>131</v>
      </c>
      <c r="E94" s="77" t="s">
        <v>436</v>
      </c>
      <c r="F94" s="77"/>
      <c r="G94" s="78" t="s">
        <v>27</v>
      </c>
      <c r="H94" s="79" t="s">
        <v>413</v>
      </c>
      <c r="I94" s="78">
        <v>5310179393</v>
      </c>
      <c r="J94" s="57" t="s">
        <v>155</v>
      </c>
      <c r="K94" s="57">
        <v>36590</v>
      </c>
      <c r="L94" s="78" t="s">
        <v>621</v>
      </c>
      <c r="M94" s="78" t="s">
        <v>778</v>
      </c>
      <c r="N94" s="78" t="s">
        <v>807</v>
      </c>
      <c r="O94" s="78" t="s">
        <v>808</v>
      </c>
      <c r="P94" s="57" t="s">
        <v>304</v>
      </c>
      <c r="Q94" s="81" t="s">
        <v>385</v>
      </c>
      <c r="R94" s="148" t="s">
        <v>1700</v>
      </c>
    </row>
    <row r="95" spans="1:18" hidden="1" x14ac:dyDescent="0.25">
      <c r="A95" s="151">
        <v>93</v>
      </c>
      <c r="B95" s="77" t="s">
        <v>132</v>
      </c>
      <c r="C95" s="77" t="s">
        <v>242</v>
      </c>
      <c r="D95" s="77" t="s">
        <v>131</v>
      </c>
      <c r="E95" s="77" t="s">
        <v>436</v>
      </c>
      <c r="F95" s="77"/>
      <c r="G95" s="78" t="s">
        <v>27</v>
      </c>
      <c r="H95" s="79" t="s">
        <v>413</v>
      </c>
      <c r="I95" s="78">
        <v>5310179418</v>
      </c>
      <c r="J95" s="57" t="s">
        <v>156</v>
      </c>
      <c r="K95" s="57">
        <v>37028</v>
      </c>
      <c r="L95" s="78" t="s">
        <v>786</v>
      </c>
      <c r="M95" s="78" t="s">
        <v>787</v>
      </c>
      <c r="N95" s="78" t="s">
        <v>929</v>
      </c>
      <c r="O95" s="78" t="s">
        <v>930</v>
      </c>
      <c r="P95" s="57" t="s">
        <v>714</v>
      </c>
      <c r="Q95" s="81" t="s">
        <v>715</v>
      </c>
      <c r="R95" s="148" t="s">
        <v>1700</v>
      </c>
    </row>
    <row r="96" spans="1:18" hidden="1" x14ac:dyDescent="0.25">
      <c r="A96" s="151">
        <v>94</v>
      </c>
      <c r="B96" s="77" t="s">
        <v>134</v>
      </c>
      <c r="C96" s="77" t="s">
        <v>243</v>
      </c>
      <c r="D96" s="77" t="s">
        <v>131</v>
      </c>
      <c r="E96" s="77" t="s">
        <v>438</v>
      </c>
      <c r="F96" s="80"/>
      <c r="G96" s="86" t="s">
        <v>27</v>
      </c>
      <c r="H96" s="79" t="s">
        <v>178</v>
      </c>
      <c r="I96" s="78">
        <v>5310179017</v>
      </c>
      <c r="J96" s="57" t="s">
        <v>173</v>
      </c>
      <c r="K96" s="57" t="s">
        <v>174</v>
      </c>
      <c r="L96" s="78" t="s">
        <v>623</v>
      </c>
      <c r="M96" s="78" t="s">
        <v>806</v>
      </c>
      <c r="N96" s="78" t="s">
        <v>929</v>
      </c>
      <c r="O96" s="78" t="s">
        <v>930</v>
      </c>
      <c r="P96" s="57" t="s">
        <v>699</v>
      </c>
      <c r="Q96" s="81" t="s">
        <v>700</v>
      </c>
      <c r="R96" s="148" t="s">
        <v>1700</v>
      </c>
    </row>
    <row r="97" spans="1:18" x14ac:dyDescent="0.25">
      <c r="A97" s="151">
        <v>95</v>
      </c>
      <c r="B97" s="77" t="s">
        <v>134</v>
      </c>
      <c r="C97" s="77" t="s">
        <v>243</v>
      </c>
      <c r="D97" s="77" t="s">
        <v>131</v>
      </c>
      <c r="E97" s="77" t="s">
        <v>438</v>
      </c>
      <c r="F97" s="80" t="s">
        <v>435</v>
      </c>
      <c r="G97" s="86" t="s">
        <v>27</v>
      </c>
      <c r="H97" s="79" t="s">
        <v>178</v>
      </c>
      <c r="I97" s="78">
        <v>5310178276</v>
      </c>
      <c r="J97" s="57" t="s">
        <v>712</v>
      </c>
      <c r="K97" s="57" t="s">
        <v>713</v>
      </c>
      <c r="L97" s="78" t="s">
        <v>788</v>
      </c>
      <c r="M97" s="78" t="s">
        <v>789</v>
      </c>
      <c r="N97" s="78" t="s">
        <v>898</v>
      </c>
      <c r="O97" s="78" t="s">
        <v>899</v>
      </c>
      <c r="P97" s="57" t="s">
        <v>695</v>
      </c>
      <c r="Q97" s="81" t="s">
        <v>696</v>
      </c>
      <c r="R97" s="148" t="s">
        <v>1700</v>
      </c>
    </row>
    <row r="98" spans="1:18" x14ac:dyDescent="0.25">
      <c r="A98" s="151">
        <v>96</v>
      </c>
      <c r="B98" s="77" t="s">
        <v>134</v>
      </c>
      <c r="C98" s="77" t="s">
        <v>243</v>
      </c>
      <c r="D98" s="77" t="s">
        <v>131</v>
      </c>
      <c r="E98" s="77" t="s">
        <v>438</v>
      </c>
      <c r="F98" s="80" t="s">
        <v>435</v>
      </c>
      <c r="G98" s="86" t="s">
        <v>27</v>
      </c>
      <c r="H98" s="79" t="s">
        <v>413</v>
      </c>
      <c r="I98" s="78">
        <v>5310179550</v>
      </c>
      <c r="J98" s="57" t="s">
        <v>667</v>
      </c>
      <c r="K98" s="57">
        <v>70402</v>
      </c>
      <c r="L98" s="78" t="s">
        <v>788</v>
      </c>
      <c r="M98" s="78" t="s">
        <v>789</v>
      </c>
      <c r="N98" s="78" t="s">
        <v>900</v>
      </c>
      <c r="O98" s="78" t="s">
        <v>901</v>
      </c>
      <c r="P98" s="57" t="s">
        <v>697</v>
      </c>
      <c r="Q98" s="81" t="s">
        <v>698</v>
      </c>
      <c r="R98" s="148" t="s">
        <v>1700</v>
      </c>
    </row>
    <row r="99" spans="1:18" x14ac:dyDescent="0.25">
      <c r="A99" s="151">
        <v>97</v>
      </c>
      <c r="B99" s="77" t="s">
        <v>134</v>
      </c>
      <c r="C99" s="77" t="s">
        <v>243</v>
      </c>
      <c r="D99" s="77" t="s">
        <v>131</v>
      </c>
      <c r="E99" s="77" t="s">
        <v>438</v>
      </c>
      <c r="F99" s="80" t="s">
        <v>437</v>
      </c>
      <c r="G99" s="86" t="s">
        <v>27</v>
      </c>
      <c r="H99" s="79" t="s">
        <v>413</v>
      </c>
      <c r="I99" s="78">
        <v>5310179325</v>
      </c>
      <c r="J99" s="57" t="s">
        <v>665</v>
      </c>
      <c r="K99" s="57">
        <v>70378</v>
      </c>
      <c r="L99" s="78" t="s">
        <v>798</v>
      </c>
      <c r="M99" s="78" t="s">
        <v>129</v>
      </c>
      <c r="N99" s="78" t="s">
        <v>902</v>
      </c>
      <c r="O99" s="78" t="s">
        <v>903</v>
      </c>
      <c r="P99" s="57" t="s">
        <v>693</v>
      </c>
      <c r="Q99" s="81" t="s">
        <v>694</v>
      </c>
      <c r="R99" s="148" t="s">
        <v>1699</v>
      </c>
    </row>
    <row r="100" spans="1:18" hidden="1" x14ac:dyDescent="0.25">
      <c r="A100" s="151">
        <v>98</v>
      </c>
      <c r="B100" s="77" t="s">
        <v>134</v>
      </c>
      <c r="C100" s="77" t="s">
        <v>243</v>
      </c>
      <c r="D100" s="77" t="s">
        <v>131</v>
      </c>
      <c r="E100" s="77" t="s">
        <v>438</v>
      </c>
      <c r="F100" s="80" t="s">
        <v>437</v>
      </c>
      <c r="G100" s="86" t="s">
        <v>27</v>
      </c>
      <c r="H100" s="79" t="s">
        <v>413</v>
      </c>
      <c r="I100" s="78">
        <v>5310179226</v>
      </c>
      <c r="J100" s="57" t="s">
        <v>666</v>
      </c>
      <c r="K100" s="57">
        <v>70375</v>
      </c>
      <c r="L100" s="78" t="s">
        <v>796</v>
      </c>
      <c r="M100" s="78" t="s">
        <v>797</v>
      </c>
      <c r="N100" s="78" t="s">
        <v>888</v>
      </c>
      <c r="O100" s="78" t="s">
        <v>889</v>
      </c>
      <c r="P100" s="57" t="s">
        <v>305</v>
      </c>
      <c r="Q100" s="81" t="s">
        <v>386</v>
      </c>
      <c r="R100" s="148" t="s">
        <v>1700</v>
      </c>
    </row>
    <row r="101" spans="1:18" hidden="1" x14ac:dyDescent="0.25">
      <c r="A101" s="151">
        <v>99</v>
      </c>
      <c r="B101" s="77" t="s">
        <v>134</v>
      </c>
      <c r="C101" s="77" t="s">
        <v>243</v>
      </c>
      <c r="D101" s="77" t="s">
        <v>131</v>
      </c>
      <c r="E101" s="77" t="s">
        <v>438</v>
      </c>
      <c r="F101" s="80" t="s">
        <v>897</v>
      </c>
      <c r="G101" s="86" t="s">
        <v>27</v>
      </c>
      <c r="H101" s="79" t="s">
        <v>399</v>
      </c>
      <c r="I101" s="78">
        <v>5310178997</v>
      </c>
      <c r="J101" s="57" t="s">
        <v>691</v>
      </c>
      <c r="K101" s="57" t="s">
        <v>692</v>
      </c>
      <c r="L101" s="78" t="s">
        <v>795</v>
      </c>
      <c r="M101" s="78" t="s">
        <v>910</v>
      </c>
      <c r="N101" s="78" t="s">
        <v>886</v>
      </c>
      <c r="O101" s="78" t="s">
        <v>887</v>
      </c>
      <c r="P101" s="57" t="s">
        <v>306</v>
      </c>
      <c r="Q101" s="81" t="s">
        <v>387</v>
      </c>
      <c r="R101" s="148" t="s">
        <v>1700</v>
      </c>
    </row>
    <row r="102" spans="1:18" hidden="1" x14ac:dyDescent="0.25">
      <c r="A102" s="151">
        <v>100</v>
      </c>
      <c r="B102" s="77" t="s">
        <v>135</v>
      </c>
      <c r="C102" s="77" t="s">
        <v>244</v>
      </c>
      <c r="D102" s="77" t="s">
        <v>131</v>
      </c>
      <c r="E102" s="77" t="s">
        <v>402</v>
      </c>
      <c r="F102" s="80"/>
      <c r="G102" s="118" t="s">
        <v>27</v>
      </c>
      <c r="H102" s="79" t="s">
        <v>413</v>
      </c>
      <c r="I102" s="79">
        <v>5310179210</v>
      </c>
      <c r="J102" s="57" t="s">
        <v>167</v>
      </c>
      <c r="K102" s="57">
        <v>36759</v>
      </c>
      <c r="L102" s="78" t="s">
        <v>622</v>
      </c>
      <c r="M102" s="78" t="s">
        <v>803</v>
      </c>
      <c r="N102" s="78" t="s">
        <v>888</v>
      </c>
      <c r="O102" s="78" t="s">
        <v>889</v>
      </c>
      <c r="P102" s="57" t="s">
        <v>307</v>
      </c>
      <c r="Q102" s="81" t="s">
        <v>388</v>
      </c>
      <c r="R102" s="148" t="s">
        <v>1700</v>
      </c>
    </row>
    <row r="103" spans="1:18" hidden="1" x14ac:dyDescent="0.25">
      <c r="A103" s="151">
        <v>101</v>
      </c>
      <c r="B103" s="77" t="s">
        <v>135</v>
      </c>
      <c r="C103" s="77" t="s">
        <v>244</v>
      </c>
      <c r="D103" s="77" t="s">
        <v>131</v>
      </c>
      <c r="E103" s="77" t="s">
        <v>402</v>
      </c>
      <c r="F103" s="80"/>
      <c r="G103" s="118" t="s">
        <v>27</v>
      </c>
      <c r="H103" s="79" t="s">
        <v>178</v>
      </c>
      <c r="I103" s="78">
        <v>5310178832</v>
      </c>
      <c r="J103" s="57" t="s">
        <v>170</v>
      </c>
      <c r="K103" s="57" t="s">
        <v>504</v>
      </c>
      <c r="L103" s="78" t="s">
        <v>804</v>
      </c>
      <c r="M103" s="78" t="s">
        <v>805</v>
      </c>
      <c r="N103" s="78" t="s">
        <v>775</v>
      </c>
      <c r="O103" s="78" t="s">
        <v>776</v>
      </c>
      <c r="P103" s="57" t="s">
        <v>705</v>
      </c>
      <c r="Q103" s="81" t="s">
        <v>706</v>
      </c>
      <c r="R103" s="148" t="s">
        <v>1700</v>
      </c>
    </row>
    <row r="104" spans="1:18" hidden="1" x14ac:dyDescent="0.25">
      <c r="A104" s="151">
        <v>102</v>
      </c>
      <c r="B104" s="77" t="s">
        <v>135</v>
      </c>
      <c r="C104" s="77" t="s">
        <v>244</v>
      </c>
      <c r="D104" s="77" t="s">
        <v>131</v>
      </c>
      <c r="E104" s="77" t="s">
        <v>402</v>
      </c>
      <c r="F104" s="80" t="s">
        <v>403</v>
      </c>
      <c r="G104" s="118" t="s">
        <v>27</v>
      </c>
      <c r="H104" s="79" t="s">
        <v>413</v>
      </c>
      <c r="I104" s="78">
        <v>5310179333</v>
      </c>
      <c r="J104" s="57" t="s">
        <v>704</v>
      </c>
      <c r="K104" s="57">
        <v>70288</v>
      </c>
      <c r="L104" s="78" t="s">
        <v>1665</v>
      </c>
      <c r="M104" s="78" t="s">
        <v>774</v>
      </c>
      <c r="N104" s="78" t="s">
        <v>892</v>
      </c>
      <c r="O104" s="78" t="s">
        <v>893</v>
      </c>
      <c r="P104" s="57" t="s">
        <v>702</v>
      </c>
      <c r="Q104" s="81" t="s">
        <v>703</v>
      </c>
      <c r="R104" s="148" t="s">
        <v>1700</v>
      </c>
    </row>
    <row r="105" spans="1:18" hidden="1" x14ac:dyDescent="0.25">
      <c r="A105" s="151">
        <v>103</v>
      </c>
      <c r="B105" s="77" t="s">
        <v>135</v>
      </c>
      <c r="C105" s="77" t="s">
        <v>244</v>
      </c>
      <c r="D105" s="77" t="s">
        <v>131</v>
      </c>
      <c r="E105" s="77" t="s">
        <v>402</v>
      </c>
      <c r="F105" s="80" t="s">
        <v>444</v>
      </c>
      <c r="G105" s="118" t="s">
        <v>27</v>
      </c>
      <c r="H105" s="79" t="s">
        <v>413</v>
      </c>
      <c r="I105" s="78">
        <v>5310179646</v>
      </c>
      <c r="J105" s="57" t="s">
        <v>701</v>
      </c>
      <c r="K105" s="57">
        <v>70416</v>
      </c>
      <c r="L105" s="78" t="s">
        <v>625</v>
      </c>
      <c r="M105" s="78" t="s">
        <v>624</v>
      </c>
      <c r="N105" s="78" t="s">
        <v>891</v>
      </c>
      <c r="O105" s="78" t="s">
        <v>890</v>
      </c>
      <c r="P105" s="57" t="s">
        <v>718</v>
      </c>
      <c r="Q105" s="81" t="s">
        <v>719</v>
      </c>
      <c r="R105" s="148" t="s">
        <v>1700</v>
      </c>
    </row>
    <row r="106" spans="1:18" hidden="1" x14ac:dyDescent="0.25">
      <c r="A106" s="151">
        <v>104</v>
      </c>
      <c r="B106" s="77" t="s">
        <v>135</v>
      </c>
      <c r="C106" s="77" t="s">
        <v>244</v>
      </c>
      <c r="D106" s="77" t="s">
        <v>131</v>
      </c>
      <c r="E106" s="77" t="s">
        <v>402</v>
      </c>
      <c r="F106" s="80" t="s">
        <v>444</v>
      </c>
      <c r="G106" s="118" t="s">
        <v>22</v>
      </c>
      <c r="H106" s="79" t="s">
        <v>178</v>
      </c>
      <c r="I106" s="78">
        <v>57526906</v>
      </c>
      <c r="J106" s="57" t="s">
        <v>716</v>
      </c>
      <c r="K106" s="57" t="s">
        <v>717</v>
      </c>
      <c r="L106" s="78" t="s">
        <v>625</v>
      </c>
      <c r="M106" s="78" t="s">
        <v>624</v>
      </c>
      <c r="N106" s="79" t="s">
        <v>953</v>
      </c>
      <c r="O106" s="79" t="s">
        <v>568</v>
      </c>
      <c r="P106" s="77" t="s">
        <v>186</v>
      </c>
      <c r="Q106" s="80" t="s">
        <v>389</v>
      </c>
    </row>
    <row r="107" spans="1:18" hidden="1" x14ac:dyDescent="0.25">
      <c r="A107" s="151">
        <v>105</v>
      </c>
      <c r="B107" s="77" t="s">
        <v>137</v>
      </c>
      <c r="C107" s="77" t="s">
        <v>245</v>
      </c>
      <c r="D107" s="77" t="s">
        <v>131</v>
      </c>
      <c r="E107" s="77" t="s">
        <v>407</v>
      </c>
      <c r="F107" s="80" t="s">
        <v>440</v>
      </c>
      <c r="G107" s="86" t="s">
        <v>27</v>
      </c>
      <c r="H107" s="79" t="s">
        <v>413</v>
      </c>
      <c r="I107" s="78">
        <v>5310179464</v>
      </c>
      <c r="J107" s="57" t="s">
        <v>570</v>
      </c>
      <c r="K107" s="57">
        <v>66591</v>
      </c>
      <c r="L107" s="78" t="s">
        <v>885</v>
      </c>
      <c r="M107" s="78" t="s">
        <v>799</v>
      </c>
      <c r="N107" s="78" t="s">
        <v>800</v>
      </c>
      <c r="O107" s="78" t="s">
        <v>801</v>
      </c>
      <c r="P107" s="77" t="s">
        <v>591</v>
      </c>
      <c r="Q107" s="80" t="s">
        <v>592</v>
      </c>
    </row>
    <row r="108" spans="1:18" hidden="1" x14ac:dyDescent="0.25">
      <c r="A108" s="151">
        <v>106</v>
      </c>
      <c r="B108" s="77" t="s">
        <v>137</v>
      </c>
      <c r="C108" s="77" t="s">
        <v>245</v>
      </c>
      <c r="D108" s="77" t="s">
        <v>131</v>
      </c>
      <c r="E108" s="77" t="s">
        <v>407</v>
      </c>
      <c r="F108" s="80" t="s">
        <v>443</v>
      </c>
      <c r="G108" s="86" t="s">
        <v>27</v>
      </c>
      <c r="H108" s="79" t="s">
        <v>413</v>
      </c>
      <c r="I108" s="78">
        <v>5310179344</v>
      </c>
      <c r="J108" s="77" t="s">
        <v>569</v>
      </c>
      <c r="K108" s="57">
        <v>66587</v>
      </c>
      <c r="L108" s="78" t="s">
        <v>406</v>
      </c>
      <c r="M108" s="78" t="s">
        <v>812</v>
      </c>
      <c r="N108" s="78" t="s">
        <v>784</v>
      </c>
      <c r="O108" s="78" t="s">
        <v>785</v>
      </c>
      <c r="P108" s="77" t="s">
        <v>589</v>
      </c>
      <c r="Q108" s="80" t="s">
        <v>590</v>
      </c>
    </row>
    <row r="109" spans="1:18" hidden="1" x14ac:dyDescent="0.25">
      <c r="A109" s="151">
        <v>107</v>
      </c>
      <c r="B109" s="115" t="s">
        <v>160</v>
      </c>
      <c r="C109" s="115" t="s">
        <v>246</v>
      </c>
      <c r="D109" s="115" t="s">
        <v>131</v>
      </c>
      <c r="E109" s="115" t="s">
        <v>441</v>
      </c>
      <c r="F109" s="116"/>
      <c r="G109" s="86" t="s">
        <v>27</v>
      </c>
      <c r="H109" s="79" t="s">
        <v>413</v>
      </c>
      <c r="I109" s="78">
        <v>5310179641</v>
      </c>
      <c r="J109" s="57" t="s">
        <v>169</v>
      </c>
      <c r="K109" s="57">
        <v>36838</v>
      </c>
      <c r="L109" s="78" t="s">
        <v>790</v>
      </c>
      <c r="M109" s="78" t="s">
        <v>34</v>
      </c>
      <c r="N109" s="78" t="s">
        <v>792</v>
      </c>
      <c r="O109" s="78" t="s">
        <v>791</v>
      </c>
      <c r="P109" s="57" t="s">
        <v>308</v>
      </c>
      <c r="Q109" s="81" t="s">
        <v>390</v>
      </c>
      <c r="R109" s="148" t="s">
        <v>1699</v>
      </c>
    </row>
    <row r="110" spans="1:18" hidden="1" x14ac:dyDescent="0.25">
      <c r="A110" s="151">
        <v>108</v>
      </c>
      <c r="B110" s="77" t="s">
        <v>160</v>
      </c>
      <c r="C110" s="77" t="s">
        <v>246</v>
      </c>
      <c r="D110" s="77" t="s">
        <v>131</v>
      </c>
      <c r="E110" s="77" t="s">
        <v>441</v>
      </c>
      <c r="F110" s="80"/>
      <c r="G110" s="86" t="s">
        <v>27</v>
      </c>
      <c r="H110" s="79" t="s">
        <v>178</v>
      </c>
      <c r="I110" s="78">
        <v>5310179076</v>
      </c>
      <c r="J110" s="77" t="s">
        <v>172</v>
      </c>
      <c r="K110" s="57" t="s">
        <v>171</v>
      </c>
      <c r="L110" s="78" t="s">
        <v>794</v>
      </c>
      <c r="M110" s="78" t="s">
        <v>34</v>
      </c>
      <c r="N110" s="78" t="s">
        <v>917</v>
      </c>
      <c r="O110" s="78" t="s">
        <v>918</v>
      </c>
      <c r="P110" s="77" t="s">
        <v>310</v>
      </c>
      <c r="Q110" s="80" t="s">
        <v>391</v>
      </c>
      <c r="R110" s="148" t="s">
        <v>1700</v>
      </c>
    </row>
    <row r="111" spans="1:18" hidden="1" x14ac:dyDescent="0.25">
      <c r="A111" s="151">
        <v>109</v>
      </c>
      <c r="B111" s="77" t="s">
        <v>160</v>
      </c>
      <c r="C111" s="77" t="s">
        <v>246</v>
      </c>
      <c r="D111" s="77" t="s">
        <v>131</v>
      </c>
      <c r="E111" s="77" t="s">
        <v>441</v>
      </c>
      <c r="F111" s="80"/>
      <c r="G111" s="86" t="s">
        <v>27</v>
      </c>
      <c r="H111" s="79" t="s">
        <v>413</v>
      </c>
      <c r="I111" s="78">
        <v>5310179798</v>
      </c>
      <c r="J111" s="77" t="s">
        <v>185</v>
      </c>
      <c r="K111" s="57">
        <v>49924</v>
      </c>
      <c r="L111" s="78" t="s">
        <v>793</v>
      </c>
      <c r="M111" s="78" t="s">
        <v>34</v>
      </c>
      <c r="N111" s="78" t="s">
        <v>915</v>
      </c>
      <c r="O111" s="78" t="s">
        <v>916</v>
      </c>
      <c r="P111" s="77" t="s">
        <v>309</v>
      </c>
      <c r="Q111" s="80" t="s">
        <v>392</v>
      </c>
      <c r="R111" s="148" t="s">
        <v>1700</v>
      </c>
    </row>
    <row r="112" spans="1:18" hidden="1" x14ac:dyDescent="0.25">
      <c r="A112" s="151">
        <v>110</v>
      </c>
      <c r="B112" s="77" t="s">
        <v>160</v>
      </c>
      <c r="C112" s="77" t="s">
        <v>246</v>
      </c>
      <c r="D112" s="77" t="s">
        <v>131</v>
      </c>
      <c r="E112" s="77" t="s">
        <v>441</v>
      </c>
      <c r="F112" s="80"/>
      <c r="G112" s="86" t="s">
        <v>22</v>
      </c>
      <c r="H112" s="79" t="s">
        <v>399</v>
      </c>
      <c r="I112" s="78">
        <v>57526878</v>
      </c>
      <c r="J112" s="77" t="s">
        <v>724</v>
      </c>
      <c r="K112" s="57" t="s">
        <v>723</v>
      </c>
      <c r="L112" s="78" t="s">
        <v>790</v>
      </c>
      <c r="M112" s="78" t="s">
        <v>34</v>
      </c>
      <c r="N112" s="78" t="s">
        <v>792</v>
      </c>
      <c r="O112" s="78" t="s">
        <v>791</v>
      </c>
      <c r="P112" s="77" t="s">
        <v>311</v>
      </c>
      <c r="Q112" s="80" t="s">
        <v>393</v>
      </c>
      <c r="R112" s="148" t="s">
        <v>1699</v>
      </c>
    </row>
    <row r="113" spans="1:18" x14ac:dyDescent="0.25">
      <c r="A113" s="151">
        <v>111</v>
      </c>
      <c r="B113" s="77" t="s">
        <v>160</v>
      </c>
      <c r="C113" s="77" t="s">
        <v>246</v>
      </c>
      <c r="D113" s="77" t="s">
        <v>131</v>
      </c>
      <c r="E113" s="77" t="s">
        <v>441</v>
      </c>
      <c r="F113" s="80"/>
      <c r="G113" s="86" t="s">
        <v>27</v>
      </c>
      <c r="H113" s="79" t="s">
        <v>413</v>
      </c>
      <c r="I113" s="78">
        <v>5310179264</v>
      </c>
      <c r="J113" s="57" t="s">
        <v>647</v>
      </c>
      <c r="K113" s="57">
        <v>70325</v>
      </c>
      <c r="L113" s="78" t="s">
        <v>927</v>
      </c>
      <c r="M113" s="78" t="s">
        <v>928</v>
      </c>
      <c r="N113" s="78" t="s">
        <v>925</v>
      </c>
      <c r="O113" s="78" t="s">
        <v>926</v>
      </c>
      <c r="P113" s="77" t="s">
        <v>648</v>
      </c>
      <c r="Q113" s="80" t="s">
        <v>649</v>
      </c>
      <c r="R113" s="148" t="s">
        <v>1700</v>
      </c>
    </row>
    <row r="114" spans="1:18" hidden="1" x14ac:dyDescent="0.25">
      <c r="A114" s="151">
        <v>112</v>
      </c>
      <c r="B114" s="77" t="s">
        <v>160</v>
      </c>
      <c r="C114" s="77" t="s">
        <v>246</v>
      </c>
      <c r="D114" s="77" t="s">
        <v>131</v>
      </c>
      <c r="E114" s="77" t="s">
        <v>441</v>
      </c>
      <c r="F114" s="80" t="s">
        <v>442</v>
      </c>
      <c r="G114" s="86" t="s">
        <v>31</v>
      </c>
      <c r="H114" s="79" t="s">
        <v>413</v>
      </c>
      <c r="I114" s="78">
        <v>5310137858</v>
      </c>
      <c r="J114" s="57" t="s">
        <v>653</v>
      </c>
      <c r="K114" s="57">
        <v>70271</v>
      </c>
      <c r="L114" s="78" t="s">
        <v>802</v>
      </c>
      <c r="M114" s="78" t="s">
        <v>924</v>
      </c>
      <c r="N114" s="78" t="s">
        <v>922</v>
      </c>
      <c r="O114" s="78" t="s">
        <v>923</v>
      </c>
      <c r="P114" s="77" t="s">
        <v>654</v>
      </c>
      <c r="Q114" s="80" t="s">
        <v>655</v>
      </c>
    </row>
    <row r="115" spans="1:18" hidden="1" x14ac:dyDescent="0.25">
      <c r="A115" s="151">
        <v>113</v>
      </c>
      <c r="B115" s="77" t="s">
        <v>160</v>
      </c>
      <c r="C115" s="77" t="s">
        <v>246</v>
      </c>
      <c r="D115" s="77" t="s">
        <v>131</v>
      </c>
      <c r="E115" s="77" t="s">
        <v>441</v>
      </c>
      <c r="F115" s="80" t="s">
        <v>442</v>
      </c>
      <c r="G115" s="86" t="s">
        <v>27</v>
      </c>
      <c r="H115" s="79" t="s">
        <v>399</v>
      </c>
      <c r="I115" s="78">
        <v>5310178586</v>
      </c>
      <c r="J115" s="79" t="s">
        <v>813</v>
      </c>
      <c r="K115" s="77" t="s">
        <v>707</v>
      </c>
      <c r="L115" s="78" t="s">
        <v>802</v>
      </c>
      <c r="M115" s="78" t="s">
        <v>924</v>
      </c>
      <c r="N115" s="78" t="s">
        <v>922</v>
      </c>
      <c r="O115" s="78" t="s">
        <v>923</v>
      </c>
      <c r="P115" s="77" t="s">
        <v>708</v>
      </c>
      <c r="Q115" s="80" t="s">
        <v>709</v>
      </c>
    </row>
    <row r="116" spans="1:18" hidden="1" x14ac:dyDescent="0.25">
      <c r="A116" s="151">
        <v>114</v>
      </c>
      <c r="B116" s="77" t="s">
        <v>160</v>
      </c>
      <c r="C116" s="77" t="s">
        <v>246</v>
      </c>
      <c r="D116" s="77" t="s">
        <v>131</v>
      </c>
      <c r="E116" s="77" t="s">
        <v>441</v>
      </c>
      <c r="F116" s="80" t="s">
        <v>442</v>
      </c>
      <c r="G116" s="86" t="s">
        <v>27</v>
      </c>
      <c r="H116" s="79" t="s">
        <v>413</v>
      </c>
      <c r="I116" s="78">
        <v>5310179694</v>
      </c>
      <c r="J116" s="57" t="s">
        <v>650</v>
      </c>
      <c r="K116" s="57">
        <v>70292</v>
      </c>
      <c r="L116" s="78" t="s">
        <v>802</v>
      </c>
      <c r="M116" s="78" t="s">
        <v>924</v>
      </c>
      <c r="N116" s="78" t="s">
        <v>922</v>
      </c>
      <c r="O116" s="78" t="s">
        <v>923</v>
      </c>
      <c r="P116" s="77" t="s">
        <v>651</v>
      </c>
      <c r="Q116" s="80" t="s">
        <v>652</v>
      </c>
    </row>
    <row r="117" spans="1:18" x14ac:dyDescent="0.25">
      <c r="A117" s="151">
        <v>115</v>
      </c>
      <c r="B117" s="77" t="s">
        <v>160</v>
      </c>
      <c r="C117" s="77" t="s">
        <v>246</v>
      </c>
      <c r="D117" s="77" t="s">
        <v>131</v>
      </c>
      <c r="E117" s="77" t="s">
        <v>441</v>
      </c>
      <c r="F117" s="80" t="s">
        <v>439</v>
      </c>
      <c r="G117" s="86" t="s">
        <v>27</v>
      </c>
      <c r="H117" s="79" t="s">
        <v>413</v>
      </c>
      <c r="I117" s="78">
        <v>5310179329</v>
      </c>
      <c r="J117" s="57" t="s">
        <v>659</v>
      </c>
      <c r="K117" s="57">
        <v>70283</v>
      </c>
      <c r="L117" s="78" t="s">
        <v>777</v>
      </c>
      <c r="M117" s="78" t="s">
        <v>778</v>
      </c>
      <c r="N117" s="78" t="s">
        <v>779</v>
      </c>
      <c r="O117" s="78" t="s">
        <v>780</v>
      </c>
      <c r="P117" s="77" t="s">
        <v>660</v>
      </c>
      <c r="Q117" s="80" t="s">
        <v>661</v>
      </c>
      <c r="R117" s="148" t="s">
        <v>1700</v>
      </c>
    </row>
    <row r="118" spans="1:18" hidden="1" x14ac:dyDescent="0.25">
      <c r="A118" s="151">
        <v>116</v>
      </c>
      <c r="B118" s="77" t="s">
        <v>160</v>
      </c>
      <c r="C118" s="77" t="s">
        <v>246</v>
      </c>
      <c r="D118" s="77" t="s">
        <v>131</v>
      </c>
      <c r="E118" s="77" t="s">
        <v>441</v>
      </c>
      <c r="F118" s="80" t="s">
        <v>439</v>
      </c>
      <c r="G118" s="86" t="s">
        <v>27</v>
      </c>
      <c r="H118" s="79" t="s">
        <v>413</v>
      </c>
      <c r="I118" s="78">
        <v>5310179600</v>
      </c>
      <c r="J118" s="77" t="s">
        <v>656</v>
      </c>
      <c r="K118" s="57">
        <v>70286</v>
      </c>
      <c r="L118" s="78" t="s">
        <v>781</v>
      </c>
      <c r="M118" s="78" t="s">
        <v>884</v>
      </c>
      <c r="N118" s="78" t="s">
        <v>782</v>
      </c>
      <c r="O118" s="78" t="s">
        <v>783</v>
      </c>
      <c r="P118" s="77" t="s">
        <v>657</v>
      </c>
      <c r="Q118" s="80" t="s">
        <v>658</v>
      </c>
      <c r="R118" s="148" t="s">
        <v>1700</v>
      </c>
    </row>
    <row r="119" spans="1:18" hidden="1" x14ac:dyDescent="0.25">
      <c r="A119" s="151">
        <v>117</v>
      </c>
      <c r="B119" s="77" t="s">
        <v>160</v>
      </c>
      <c r="C119" s="77" t="s">
        <v>246</v>
      </c>
      <c r="D119" s="77" t="s">
        <v>131</v>
      </c>
      <c r="E119" s="77" t="s">
        <v>441</v>
      </c>
      <c r="F119" s="80" t="s">
        <v>439</v>
      </c>
      <c r="G119" s="86" t="s">
        <v>27</v>
      </c>
      <c r="H119" s="79" t="s">
        <v>399</v>
      </c>
      <c r="I119" s="78">
        <v>5310178747</v>
      </c>
      <c r="J119" s="57" t="s">
        <v>874</v>
      </c>
      <c r="K119" s="57" t="s">
        <v>875</v>
      </c>
      <c r="L119" s="78" t="s">
        <v>876</v>
      </c>
      <c r="M119" s="77" t="s">
        <v>877</v>
      </c>
      <c r="N119" s="78" t="s">
        <v>878</v>
      </c>
      <c r="O119" s="78" t="s">
        <v>879</v>
      </c>
      <c r="P119" s="77" t="s">
        <v>710</v>
      </c>
      <c r="Q119" s="80" t="s">
        <v>711</v>
      </c>
      <c r="R119" s="148" t="s">
        <v>1700</v>
      </c>
    </row>
    <row r="120" spans="1:18" hidden="1" x14ac:dyDescent="0.25">
      <c r="A120" s="151">
        <v>118</v>
      </c>
      <c r="B120" s="77" t="s">
        <v>160</v>
      </c>
      <c r="C120" s="77" t="s">
        <v>246</v>
      </c>
      <c r="D120" s="77" t="s">
        <v>131</v>
      </c>
      <c r="E120" s="77" t="s">
        <v>441</v>
      </c>
      <c r="F120" s="80" t="s">
        <v>166</v>
      </c>
      <c r="G120" s="86" t="s">
        <v>27</v>
      </c>
      <c r="H120" s="79" t="s">
        <v>413</v>
      </c>
      <c r="I120" s="78">
        <v>5310179298</v>
      </c>
      <c r="J120" s="77" t="s">
        <v>662</v>
      </c>
      <c r="K120" s="57">
        <v>70346</v>
      </c>
      <c r="L120" s="78" t="s">
        <v>1705</v>
      </c>
      <c r="M120" s="78" t="s">
        <v>1706</v>
      </c>
      <c r="N120" s="78" t="s">
        <v>964</v>
      </c>
      <c r="O120" s="78" t="s">
        <v>965</v>
      </c>
      <c r="P120" s="77" t="s">
        <v>663</v>
      </c>
      <c r="Q120" s="80" t="s">
        <v>664</v>
      </c>
      <c r="R120" s="148" t="s">
        <v>1700</v>
      </c>
    </row>
    <row r="121" spans="1:18" hidden="1" x14ac:dyDescent="0.25">
      <c r="A121" s="151">
        <v>119</v>
      </c>
      <c r="B121" s="77" t="s">
        <v>160</v>
      </c>
      <c r="C121" s="77" t="s">
        <v>246</v>
      </c>
      <c r="D121" s="77" t="s">
        <v>131</v>
      </c>
      <c r="E121" s="77" t="s">
        <v>441</v>
      </c>
      <c r="F121" s="77" t="s">
        <v>166</v>
      </c>
      <c r="G121" s="78" t="s">
        <v>27</v>
      </c>
      <c r="H121" s="79" t="s">
        <v>413</v>
      </c>
      <c r="I121" s="78">
        <v>5310179286</v>
      </c>
      <c r="J121" s="77" t="s">
        <v>409</v>
      </c>
      <c r="K121" s="57"/>
      <c r="L121" s="78" t="s">
        <v>1692</v>
      </c>
      <c r="M121" s="78" t="s">
        <v>728</v>
      </c>
      <c r="N121" s="79" t="s">
        <v>837</v>
      </c>
      <c r="O121" s="79" t="s">
        <v>838</v>
      </c>
      <c r="P121" s="77" t="s">
        <v>638</v>
      </c>
      <c r="Q121" s="80" t="s">
        <v>639</v>
      </c>
      <c r="R121" s="148" t="s">
        <v>1700</v>
      </c>
    </row>
    <row r="122" spans="1:18" hidden="1" x14ac:dyDescent="0.25">
      <c r="A122" s="151">
        <v>120</v>
      </c>
      <c r="B122" s="77" t="s">
        <v>246</v>
      </c>
      <c r="C122" s="77" t="s">
        <v>131</v>
      </c>
      <c r="D122" s="77" t="s">
        <v>441</v>
      </c>
      <c r="E122" s="77" t="s">
        <v>166</v>
      </c>
      <c r="F122" s="78" t="s">
        <v>634</v>
      </c>
      <c r="G122" s="78">
        <v>1</v>
      </c>
      <c r="H122" s="78" t="s">
        <v>635</v>
      </c>
      <c r="I122" s="77"/>
      <c r="J122" s="57"/>
      <c r="K122" s="78" t="s">
        <v>160</v>
      </c>
      <c r="L122" s="78" t="s">
        <v>728</v>
      </c>
      <c r="M122" s="78"/>
      <c r="N122" s="79" t="s">
        <v>837</v>
      </c>
      <c r="O122" s="79" t="s">
        <v>838</v>
      </c>
      <c r="P122" s="77" t="s">
        <v>637</v>
      </c>
      <c r="Q122" s="80" t="s">
        <v>636</v>
      </c>
      <c r="R122" s="148" t="s">
        <v>1699</v>
      </c>
    </row>
    <row r="123" spans="1:18" hidden="1" x14ac:dyDescent="0.25">
      <c r="A123" s="151">
        <v>121</v>
      </c>
      <c r="B123" s="77" t="s">
        <v>246</v>
      </c>
      <c r="C123" s="77" t="s">
        <v>131</v>
      </c>
      <c r="D123" s="77" t="s">
        <v>441</v>
      </c>
      <c r="E123" s="77" t="s">
        <v>166</v>
      </c>
      <c r="F123" s="78" t="s">
        <v>634</v>
      </c>
      <c r="G123" s="78">
        <v>1</v>
      </c>
      <c r="H123" s="78">
        <v>595200</v>
      </c>
      <c r="I123" s="77"/>
      <c r="J123" s="57"/>
      <c r="K123" s="78" t="s">
        <v>160</v>
      </c>
      <c r="L123" s="78" t="s">
        <v>728</v>
      </c>
      <c r="M123" s="78"/>
      <c r="N123" s="79" t="s">
        <v>837</v>
      </c>
      <c r="O123" s="79" t="s">
        <v>838</v>
      </c>
      <c r="P123" s="77" t="s">
        <v>725</v>
      </c>
      <c r="Q123" s="80" t="s">
        <v>726</v>
      </c>
      <c r="R123" s="148" t="s">
        <v>1699</v>
      </c>
    </row>
    <row r="124" spans="1:18" ht="15.75" hidden="1" thickBot="1" x14ac:dyDescent="0.3">
      <c r="A124" s="151">
        <v>122</v>
      </c>
      <c r="B124" s="77" t="s">
        <v>246</v>
      </c>
      <c r="C124" s="77" t="s">
        <v>131</v>
      </c>
      <c r="D124" s="77" t="s">
        <v>441</v>
      </c>
      <c r="E124" s="77" t="s">
        <v>166</v>
      </c>
      <c r="F124" s="78" t="s">
        <v>634</v>
      </c>
      <c r="G124" s="78" t="s">
        <v>513</v>
      </c>
      <c r="H124" s="78">
        <v>595201</v>
      </c>
      <c r="I124" s="78" t="s">
        <v>409</v>
      </c>
      <c r="J124" s="57"/>
      <c r="K124" s="78" t="s">
        <v>160</v>
      </c>
      <c r="L124" s="78" t="s">
        <v>728</v>
      </c>
      <c r="M124" s="77"/>
      <c r="N124" s="79" t="s">
        <v>837</v>
      </c>
      <c r="O124" s="79" t="s">
        <v>838</v>
      </c>
      <c r="P124" s="77"/>
      <c r="Q124" s="80"/>
      <c r="R124" s="145" t="s">
        <v>1692</v>
      </c>
    </row>
    <row r="125" spans="1:18" ht="15.75" hidden="1" thickBot="1" x14ac:dyDescent="0.3">
      <c r="A125" s="151">
        <v>123</v>
      </c>
      <c r="B125" s="88" t="s">
        <v>246</v>
      </c>
      <c r="C125" s="88" t="s">
        <v>131</v>
      </c>
      <c r="D125" s="88" t="s">
        <v>441</v>
      </c>
      <c r="E125" s="88" t="s">
        <v>166</v>
      </c>
      <c r="F125" s="157" t="s">
        <v>27</v>
      </c>
      <c r="G125" s="157" t="s">
        <v>513</v>
      </c>
      <c r="H125" s="157">
        <v>5310179286</v>
      </c>
      <c r="I125" s="88" t="s">
        <v>409</v>
      </c>
      <c r="J125" s="159"/>
      <c r="K125" s="157" t="s">
        <v>160</v>
      </c>
      <c r="L125" s="157" t="s">
        <v>728</v>
      </c>
      <c r="M125" s="88"/>
      <c r="N125" s="158" t="s">
        <v>837</v>
      </c>
      <c r="O125" s="158" t="s">
        <v>838</v>
      </c>
      <c r="P125" s="88"/>
      <c r="Q125" s="117"/>
      <c r="R125" s="145" t="s">
        <v>1692</v>
      </c>
    </row>
  </sheetData>
  <autoFilter ref="A2:Q125" xr:uid="{DCB4C322-24AE-4C25-B39A-1DD5767F5667}">
    <filterColumn colId="4">
      <colorFilter dxfId="26"/>
    </filterColumn>
  </autoFilter>
  <conditionalFormatting sqref="H122:H125">
    <cfRule type="duplicateValues" dxfId="14" priority="8"/>
  </conditionalFormatting>
  <conditionalFormatting sqref="I2:I121">
    <cfRule type="duplicateValues" dxfId="13" priority="4"/>
  </conditionalFormatting>
  <conditionalFormatting sqref="J122:J125">
    <cfRule type="duplicateValues" dxfId="12" priority="5"/>
    <cfRule type="duplicateValues" dxfId="11" priority="6"/>
    <cfRule type="duplicateValues" dxfId="10" priority="7"/>
  </conditionalFormatting>
  <conditionalFormatting sqref="K2:K121">
    <cfRule type="duplicateValues" dxfId="9" priority="1"/>
  </conditionalFormatting>
  <conditionalFormatting sqref="K120:K121 K2:K118">
    <cfRule type="duplicateValues" dxfId="8" priority="3"/>
  </conditionalFormatting>
  <conditionalFormatting sqref="K120:K121">
    <cfRule type="duplicateValues" dxfId="7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жами банкоматлар 2025</vt:lpstr>
      <vt:lpstr>Раисга</vt:lpstr>
      <vt:lpstr>Инфокиоски</vt:lpstr>
      <vt:lpstr>VTM, STM</vt:lpstr>
      <vt:lpstr>СВОД формула</vt:lpstr>
      <vt:lpstr>Cash In</vt:lpstr>
      <vt:lpstr>'жами банкоматлар 2025'!Область_печати</vt:lpstr>
      <vt:lpstr>'СВОД формула'!Область_печати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2026-07-30T10:32:31Z</dcterms:modified>
</cp:coreProperties>
</file>